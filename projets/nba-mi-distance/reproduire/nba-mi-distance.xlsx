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Parts" sheetId="2" state="visible" r:id="rId4"/>
    <sheet name="Rendement" sheetId="3" state="visible" r:id="rId5"/>
    <sheet name="Decomposition" sheetId="4" state="visible" r:id="rId6"/>
    <sheet name="Correlation" sheetId="5" state="visible" r:id="rId7"/>
    <sheet name="Terrain 2004" sheetId="6" state="visible" r:id="rId8"/>
    <sheet name="Terrain 2025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<sst xmlns="http://schemas.openxmlformats.org/spreadsheetml/2006/main" count="150" uniqueCount="80">
  <si>
    <t xml:space="preserve">Le tir que la NBA a arrêté de financer — refaire les graphiques</t>
  </si>
  <si>
    <t xml:space="preserve">Ce classeur contient les données de chaque graphique de l'étude, et le graphique refait dans Excel.</t>
  </si>
  <si>
    <t xml:space="preserve">Les feuilles</t>
  </si>
  <si>
    <t xml:space="preserve">• Parts : part des tirs par zone, saison par saison. Les colonnes « grandes zones » sont des formules.</t>
  </si>
  <si>
    <t xml:space="preserve">• Rendement : points rapportés par tir, par zone et par saison.</t>
  </si>
  <si>
    <t xml:space="preserve">• Decomposition : le calcul « mieux tirer ou tirer au bon endroit », entièrement en formules (SUMPRODUCT).</t>
  </si>
  <si>
    <t xml:space="preserve">• Correlation : lien entre part de mi-distance d'une équipe et son rendement, par saison.</t>
  </si>
  <si>
    <t xml:space="preserve">• Terrain 2004 / Terrain 2025 : la carte des tirs en carte de chaleur (mise en forme conditionnelle).</t>
  </si>
  <si>
    <t xml:space="preserve">Refaire un graphique dans Excel</t>
  </si>
  <si>
    <t xml:space="preserve">  1. Sélectionnez le tableau (en-têtes compris).  2. Insertion &gt; Graphiques recommandés.  3. Choisissez le type indiqué dans le titre de la feuille.</t>
  </si>
  <si>
    <t xml:space="preserve">Dans Power BI</t>
  </si>
  <si>
    <t xml:space="preserve">  Obtenir les données &gt; Texte/CSV &gt; terrain.csv : visuel « Nuage de points » avec x en Axe X, y en Axe Y, part en Taille, et saison en Axe de lecture (animation).</t>
  </si>
  <si>
    <t xml:space="preserve">En Python : python graphiques_python.py (dans le même dossier) redessine tous les graphiques en PNG.</t>
  </si>
  <si>
    <t xml:space="preserve">Source : NBA.com, via github.com/DomSamangy/NBA_Shots_04_25 (4,4 millions de tirs, 2003-04 à 2024-25).</t>
  </si>
  <si>
    <t xml:space="preserve">Part des tirs par zone — courbes</t>
  </si>
  <si>
    <t xml:space="preserve">Source : NBA.com. Lancers francs exclus.</t>
  </si>
  <si>
    <t xml:space="preserve">Saison</t>
  </si>
  <si>
    <t xml:space="preserve">Sous le panier</t>
  </si>
  <si>
    <t xml:space="preserve">Raquette</t>
  </si>
  <si>
    <t xml:space="preserve">Mi-distance</t>
  </si>
  <si>
    <t xml:space="preserve">3 pts dans le coin</t>
  </si>
  <si>
    <t xml:space="preserve">3 pts dans l'axe</t>
  </si>
  <si>
    <t xml:space="preserve">Près du panier</t>
  </si>
  <si>
    <t xml:space="preserve">3 points</t>
  </si>
  <si>
    <t xml:space="preserve">Mi-distance (rappel)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</si>
  <si>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</si>
  <si>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</si>
  <si>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</si>
  <si>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</si>
  <si>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</si>
  <si>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</si>
  <si>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</si>
  <si>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</si>
  <si>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</si>
  <si>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</si>
  <si>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</si>
  <si>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</si>
  <si>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</si>
  <si>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</si>
  <si>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</si>
  <si>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</si>
  <si>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</si>
  <si>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2020-21</t>
  </si>
  <si>
    <t xml:space="preserve">2021-22</t>
  </si>
  <si>
    <t xml:space="preserve">2022-23</t>
  </si>
  <si>
    <t xml:space="preserve">2023-24</t>
  </si>
  <si>
    <t xml:space="preserve">2024-25</t>
  </si>
  <si>
    <t xml:space="preserve">Points rapportés par tir, par zone — histogramme (première et dernière saison)</t>
  </si>
  <si>
    <t xml:space="preserve">Source : NBA.com. Rendement = points marqués / tirs tentés.</t>
  </si>
  <si>
    <t xml:space="preserve">Mieux tirer, ou tirer au bon endroit ? (décomposition mix / adresse)</t>
  </si>
  <si>
    <t xml:space="preserve">Tout est calculé par formules à partir des feuilles Parts et Rendement (première et dernière saison).</t>
  </si>
  <si>
    <t xml:space="preserve">Zone</t>
  </si>
  <si>
    <t xml:space="preserve">Part 2003-04</t>
  </si>
  <si>
    <t xml:space="preserve">Part 2024-25</t>
  </si>
  <si>
    <t xml:space="preserve">Rendement 2003-04</t>
  </si>
  <si>
    <t xml:space="preserve">Rendement 2024-25</t>
  </si>
  <si>
    <t xml:space="preserve">Rendement global, première saison</t>
  </si>
  <si>
    <t xml:space="preserve">Rendement global, dernière saison</t>
  </si>
  <si>
    <t xml:space="preserve">Hausse totale (point par tir)</t>
  </si>
  <si>
    <t xml:space="preserve">Effet mix : on tire au bon endroit</t>
  </si>
  <si>
    <t xml:space="preserve">Effet adresse : on tire mieux</t>
  </si>
  <si>
    <t xml:space="preserve">Interaction</t>
  </si>
  <si>
    <t xml:space="preserve">Part du gain due au mix</t>
  </si>
  <si>
    <t xml:space="preserve">Contrôle : mix + adresse + interaction − hausse (doit faire 0)</t>
  </si>
  <si>
    <t xml:space="preserve">Corrélation part de mi-distance / rendement des équipes — histogramme</t>
  </si>
  <si>
    <t xml:space="preserve">30 équipes par saison. Sous zéro : moins de mi-distance = plus efficace.</t>
  </si>
  <si>
    <t xml:space="preserve">Corrélation</t>
  </si>
  <si>
    <t xml:space="preserve">Équipe avec le moins de mi-distance</t>
  </si>
  <si>
    <t xml:space="preserve">Memphis Grizzlies</t>
  </si>
  <si>
    <t xml:space="preserve">Miami Heat</t>
  </si>
  <si>
    <t xml:space="preserve">Golden State Warriors</t>
  </si>
  <si>
    <t xml:space="preserve">Orlando Magic</t>
  </si>
  <si>
    <t xml:space="preserve">New York Knicks</t>
  </si>
  <si>
    <t xml:space="preserve">Denver Nuggets</t>
  </si>
  <si>
    <t xml:space="preserve">Houston Rockets</t>
  </si>
  <si>
    <t xml:space="preserve">Utah Jazz</t>
  </si>
  <si>
    <t xml:space="preserve">Atlanta Hawks</t>
  </si>
  <si>
    <t xml:space="preserve">Carte des tirs 2003-04 : part des tirs (‰) par case de 2 × 2 pieds</t>
  </si>
  <si>
    <t xml:space="preserve">Ligne 1 = au niveau du panier (fond du terrain). Mise en forme conditionnelle : plus c'est rouge, plus on tire de là.</t>
  </si>
  <si>
    <t xml:space="preserve">Carte des tirs 2024-25 : part des tirs (‰) par case de 2 × 2 pieds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</si>
</sst>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.00"/>
    <numFmt numFmtId="167" formatCode="0.000"/>
    <numFmt numFmtId="168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666666"/>
      <rgbColor rgb="FF969696"/>
      <rgbColor rgb="FF1F3864"/>
      <rgbColor rgb="FF4F81BD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 budget a changé de canal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Parts!G4</c:f>
              <c:strCache>
                <c:ptCount val="1"/>
                <c:pt idx="0">
                  <c:v>Près du panier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Parts!$A$5:$A$26</c:f>
              <c:strCache>
                <c:ptCount val="22"/>
                <c:pt idx="0">
                  <c:v>2003-04</c:v>
                </c:pt>
                <c:pt idx="1">
                  <c:v>2004-05</c:v>
                </c:pt>
                <c:pt idx="2">
                  <c:v>2005-06</c:v>
                </c:pt>
                <c:pt idx="3">
                  <c:v>2006-07</c:v>
                </c:pt>
                <c:pt idx="4">
                  <c:v>2007-08</c:v>
                </c:pt>
                <c:pt idx="5">
                  <c:v>2008-09</c:v>
                </c:pt>
                <c:pt idx="6">
                  <c:v>2009-10</c:v>
                </c:pt>
                <c:pt idx="7">
                  <c:v>2010-11</c:v>
                </c:pt>
                <c:pt idx="8">
                  <c:v>2011-12</c:v>
                </c:pt>
                <c:pt idx="9">
                  <c:v>2012-13</c:v>
                </c:pt>
                <c:pt idx="10">
                  <c:v>2013-14</c:v>
                </c:pt>
                <c:pt idx="11">
                  <c:v>2014-15</c:v>
                </c:pt>
                <c:pt idx="12">
                  <c:v>2015-16</c:v>
                </c:pt>
                <c:pt idx="13">
                  <c:v>2016-17</c:v>
                </c:pt>
                <c:pt idx="14">
                  <c:v>2017-18</c:v>
                </c:pt>
                <c:pt idx="15">
                  <c:v>2018-19</c:v>
                </c:pt>
                <c:pt idx="16">
                  <c:v>2019-20</c:v>
                </c:pt>
                <c:pt idx="17">
                  <c:v>2020-21</c:v>
                </c:pt>
                <c:pt idx="18">
                  <c:v>2021-22</c:v>
                </c:pt>
                <c:pt idx="19">
                  <c:v>2022-23</c:v>
                </c:pt>
                <c:pt idx="20">
                  <c:v>2023-24</c:v>
                </c:pt>
                <c:pt idx="21">
                  <c:v>2024-25</c:v>
                </c:pt>
              </c:strCache>
            </c:strRef>
          </c:cat>
          <c:val>
            <c:numRef>
              <c:f>Parts!$G$5:$G$26</c:f>
              <c:numCache>
                <c:formatCode>0.0%</c:formatCode>
                <c:ptCount val="22"/>
                <c:pt idx="0">
                  <c:v>0.457</c:v>
                </c:pt>
                <c:pt idx="1">
                  <c:v>0.451</c:v>
                </c:pt>
                <c:pt idx="2">
                  <c:v>0.454</c:v>
                </c:pt>
                <c:pt idx="3">
                  <c:v>0.459</c:v>
                </c:pt>
                <c:pt idx="4">
                  <c:v>0.451</c:v>
                </c:pt>
                <c:pt idx="5">
                  <c:v>0.456</c:v>
                </c:pt>
                <c:pt idx="6">
                  <c:v>0.465</c:v>
                </c:pt>
                <c:pt idx="7">
                  <c:v>0.469</c:v>
                </c:pt>
                <c:pt idx="8">
                  <c:v>0.473</c:v>
                </c:pt>
                <c:pt idx="9">
                  <c:v>0.475</c:v>
                </c:pt>
                <c:pt idx="10">
                  <c:v>0.474</c:v>
                </c:pt>
                <c:pt idx="11">
                  <c:v>0.471</c:v>
                </c:pt>
                <c:pt idx="12">
                  <c:v>0.471</c:v>
                </c:pt>
                <c:pt idx="13">
                  <c:v>0.463</c:v>
                </c:pt>
                <c:pt idx="14">
                  <c:v>0.474</c:v>
                </c:pt>
                <c:pt idx="15">
                  <c:v>0.491</c:v>
                </c:pt>
                <c:pt idx="16">
                  <c:v>0.484</c:v>
                </c:pt>
                <c:pt idx="17">
                  <c:v>0.48</c:v>
                </c:pt>
                <c:pt idx="18">
                  <c:v>0.474</c:v>
                </c:pt>
                <c:pt idx="19">
                  <c:v>0.496</c:v>
                </c:pt>
                <c:pt idx="20">
                  <c:v>0.493</c:v>
                </c:pt>
                <c:pt idx="21">
                  <c:v>0.482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Parts!H4</c:f>
              <c:strCache>
                <c:ptCount val="1"/>
                <c:pt idx="0">
                  <c:v>3 points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Parts!$A$5:$A$26</c:f>
              <c:strCache>
                <c:ptCount val="22"/>
                <c:pt idx="0">
                  <c:v>2003-04</c:v>
                </c:pt>
                <c:pt idx="1">
                  <c:v>2004-05</c:v>
                </c:pt>
                <c:pt idx="2">
                  <c:v>2005-06</c:v>
                </c:pt>
                <c:pt idx="3">
                  <c:v>2006-07</c:v>
                </c:pt>
                <c:pt idx="4">
                  <c:v>2007-08</c:v>
                </c:pt>
                <c:pt idx="5">
                  <c:v>2008-09</c:v>
                </c:pt>
                <c:pt idx="6">
                  <c:v>2009-10</c:v>
                </c:pt>
                <c:pt idx="7">
                  <c:v>2010-11</c:v>
                </c:pt>
                <c:pt idx="8">
                  <c:v>2011-12</c:v>
                </c:pt>
                <c:pt idx="9">
                  <c:v>2012-13</c:v>
                </c:pt>
                <c:pt idx="10">
                  <c:v>2013-14</c:v>
                </c:pt>
                <c:pt idx="11">
                  <c:v>2014-15</c:v>
                </c:pt>
                <c:pt idx="12">
                  <c:v>2015-16</c:v>
                </c:pt>
                <c:pt idx="13">
                  <c:v>2016-17</c:v>
                </c:pt>
                <c:pt idx="14">
                  <c:v>2017-18</c:v>
                </c:pt>
                <c:pt idx="15">
                  <c:v>2018-19</c:v>
                </c:pt>
                <c:pt idx="16">
                  <c:v>2019-20</c:v>
                </c:pt>
                <c:pt idx="17">
                  <c:v>2020-21</c:v>
                </c:pt>
                <c:pt idx="18">
                  <c:v>2021-22</c:v>
                </c:pt>
                <c:pt idx="19">
                  <c:v>2022-23</c:v>
                </c:pt>
                <c:pt idx="20">
                  <c:v>2023-24</c:v>
                </c:pt>
                <c:pt idx="21">
                  <c:v>2024-25</c:v>
                </c:pt>
              </c:strCache>
            </c:strRef>
          </c:cat>
          <c:val>
            <c:numRef>
              <c:f>Parts!$H$5:$H$26</c:f>
              <c:numCache>
                <c:formatCode>0.0%</c:formatCode>
                <c:ptCount val="22"/>
                <c:pt idx="0">
                  <c:v>0.185</c:v>
                </c:pt>
                <c:pt idx="1">
                  <c:v>0.194</c:v>
                </c:pt>
                <c:pt idx="2">
                  <c:v>0.2</c:v>
                </c:pt>
                <c:pt idx="3">
                  <c:v>0.211</c:v>
                </c:pt>
                <c:pt idx="4">
                  <c:v>0.22</c:v>
                </c:pt>
                <c:pt idx="5">
                  <c:v>0.222</c:v>
                </c:pt>
                <c:pt idx="6">
                  <c:v>0.22</c:v>
                </c:pt>
                <c:pt idx="7">
                  <c:v>0.22</c:v>
                </c:pt>
                <c:pt idx="8">
                  <c:v>0.224</c:v>
                </c:pt>
                <c:pt idx="9">
                  <c:v>0.241</c:v>
                </c:pt>
                <c:pt idx="10">
                  <c:v>0.257</c:v>
                </c:pt>
                <c:pt idx="11">
                  <c:v>0.267</c:v>
                </c:pt>
                <c:pt idx="12">
                  <c:v>0.282</c:v>
                </c:pt>
                <c:pt idx="13">
                  <c:v>0.314</c:v>
                </c:pt>
                <c:pt idx="14">
                  <c:v>0.335</c:v>
                </c:pt>
                <c:pt idx="15">
                  <c:v>0.357</c:v>
                </c:pt>
                <c:pt idx="16">
                  <c:v>0.383</c:v>
                </c:pt>
                <c:pt idx="17">
                  <c:v>0.39</c:v>
                </c:pt>
                <c:pt idx="18">
                  <c:v>0.397</c:v>
                </c:pt>
                <c:pt idx="19">
                  <c:v>0.386</c:v>
                </c:pt>
                <c:pt idx="20">
                  <c:v>0.393</c:v>
                </c:pt>
                <c:pt idx="21">
                  <c:v>0.42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Parts!I4</c:f>
              <c:strCache>
                <c:ptCount val="1"/>
                <c:pt idx="0">
                  <c:v>Mi-distance (rappel)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Parts!$A$5:$A$26</c:f>
              <c:strCache>
                <c:ptCount val="22"/>
                <c:pt idx="0">
                  <c:v>2003-04</c:v>
                </c:pt>
                <c:pt idx="1">
                  <c:v>2004-05</c:v>
                </c:pt>
                <c:pt idx="2">
                  <c:v>2005-06</c:v>
                </c:pt>
                <c:pt idx="3">
                  <c:v>2006-07</c:v>
                </c:pt>
                <c:pt idx="4">
                  <c:v>2007-08</c:v>
                </c:pt>
                <c:pt idx="5">
                  <c:v>2008-09</c:v>
                </c:pt>
                <c:pt idx="6">
                  <c:v>2009-10</c:v>
                </c:pt>
                <c:pt idx="7">
                  <c:v>2010-11</c:v>
                </c:pt>
                <c:pt idx="8">
                  <c:v>2011-12</c:v>
                </c:pt>
                <c:pt idx="9">
                  <c:v>2012-13</c:v>
                </c:pt>
                <c:pt idx="10">
                  <c:v>2013-14</c:v>
                </c:pt>
                <c:pt idx="11">
                  <c:v>2014-15</c:v>
                </c:pt>
                <c:pt idx="12">
                  <c:v>2015-16</c:v>
                </c:pt>
                <c:pt idx="13">
                  <c:v>2016-17</c:v>
                </c:pt>
                <c:pt idx="14">
                  <c:v>2017-18</c:v>
                </c:pt>
                <c:pt idx="15">
                  <c:v>2018-19</c:v>
                </c:pt>
                <c:pt idx="16">
                  <c:v>2019-20</c:v>
                </c:pt>
                <c:pt idx="17">
                  <c:v>2020-21</c:v>
                </c:pt>
                <c:pt idx="18">
                  <c:v>2021-22</c:v>
                </c:pt>
                <c:pt idx="19">
                  <c:v>2022-23</c:v>
                </c:pt>
                <c:pt idx="20">
                  <c:v>2023-24</c:v>
                </c:pt>
                <c:pt idx="21">
                  <c:v>2024-25</c:v>
                </c:pt>
              </c:strCache>
            </c:strRef>
          </c:cat>
          <c:val>
            <c:numRef>
              <c:f>Parts!$I$5:$I$26</c:f>
              <c:numCache>
                <c:formatCode>0.0%</c:formatCode>
                <c:ptCount val="22"/>
                <c:pt idx="0">
                  <c:v>0.357</c:v>
                </c:pt>
                <c:pt idx="1">
                  <c:v>0.355</c:v>
                </c:pt>
                <c:pt idx="2">
                  <c:v>0.345</c:v>
                </c:pt>
                <c:pt idx="3">
                  <c:v>0.331</c:v>
                </c:pt>
                <c:pt idx="4">
                  <c:v>0.33</c:v>
                </c:pt>
                <c:pt idx="5">
                  <c:v>0.322</c:v>
                </c:pt>
                <c:pt idx="6">
                  <c:v>0.315</c:v>
                </c:pt>
                <c:pt idx="7">
                  <c:v>0.311</c:v>
                </c:pt>
                <c:pt idx="8">
                  <c:v>0.303</c:v>
                </c:pt>
                <c:pt idx="9">
                  <c:v>0.284</c:v>
                </c:pt>
                <c:pt idx="10">
                  <c:v>0.269</c:v>
                </c:pt>
                <c:pt idx="11">
                  <c:v>0.262</c:v>
                </c:pt>
                <c:pt idx="12">
                  <c:v>0.246</c:v>
                </c:pt>
                <c:pt idx="13">
                  <c:v>0.222</c:v>
                </c:pt>
                <c:pt idx="14">
                  <c:v>0.191</c:v>
                </c:pt>
                <c:pt idx="15">
                  <c:v>0.152</c:v>
                </c:pt>
                <c:pt idx="16">
                  <c:v>0.134</c:v>
                </c:pt>
                <c:pt idx="17">
                  <c:v>0.129</c:v>
                </c:pt>
                <c:pt idx="18">
                  <c:v>0.128</c:v>
                </c:pt>
                <c:pt idx="19">
                  <c:v>0.119</c:v>
                </c:pt>
                <c:pt idx="20">
                  <c:v>0.113</c:v>
                </c:pt>
                <c:pt idx="21">
                  <c:v>0.098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8011453"/>
        <c:axId val="32754244"/>
      </c:lineChart>
      <c:catAx>
        <c:axId val="780114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Saison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754244"/>
        <c:crosses val="autoZero"/>
        <c:auto val="1"/>
        <c:lblAlgn val="ctr"/>
        <c:lblOffset val="100"/>
        <c:noMultiLvlLbl val="0"/>
      </c:catAx>
      <c:valAx>
        <c:axId val="327542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Part des tirs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0114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Cinq canaux, cinq rendements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"2003-04"</c:f>
              <c:strCache>
                <c:ptCount val="1"/>
                <c:pt idx="0">
                  <c:v>2003-04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Rendement!$B$4:$F$4</c:f>
              <c:multiLvlStrCache>
                <c:ptCount val="1"/>
                <c:lvl>
                  <c:pt idx="0">
                    <c:v>3 pts dans l'axe</c:v>
                  </c:pt>
                </c:lvl>
                <c:lvl>
                  <c:pt idx="0">
                    <c:v>3 pts dans le coin</c:v>
                  </c:pt>
                </c:lvl>
                <c:lvl>
                  <c:pt idx="0">
                    <c:v>Mi-distance</c:v>
                  </c:pt>
                </c:lvl>
                <c:lvl>
                  <c:pt idx="0">
                    <c:v>Raquette</c:v>
                  </c:pt>
                </c:lvl>
                <c:lvl>
                  <c:pt idx="0">
                    <c:v>Sous le panier</c:v>
                  </c:pt>
                </c:lvl>
              </c:multiLvlStrCache>
            </c:multiLvlStrRef>
          </c:cat>
          <c:val>
            <c:numRef>
              <c:f>Rendement!$B$5:$F$5</c:f>
              <c:numCache>
                <c:formatCode>0.00</c:formatCode>
                <c:ptCount val="5"/>
                <c:pt idx="0">
                  <c:v>1.164</c:v>
                </c:pt>
                <c:pt idx="1">
                  <c:v>0.772</c:v>
                </c:pt>
                <c:pt idx="2">
                  <c:v>0.764</c:v>
                </c:pt>
                <c:pt idx="3">
                  <c:v>1.131</c:v>
                </c:pt>
                <c:pt idx="4">
                  <c:v>1.021</c:v>
                </c:pt>
              </c:numCache>
            </c:numRef>
          </c:val>
        </c:ser>
        <c:ser>
          <c:idx val="1"/>
          <c:order val="1"/>
          <c:tx>
            <c:strRef>
              <c:f>"2024-25"</c:f>
              <c:strCache>
                <c:ptCount val="1"/>
                <c:pt idx="0">
                  <c:v>2024-25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Rendement!$B$4:$F$4</c:f>
              <c:multiLvlStrCache>
                <c:ptCount val="1"/>
                <c:lvl>
                  <c:pt idx="0">
                    <c:v>3 pts dans l'axe</c:v>
                  </c:pt>
                </c:lvl>
                <c:lvl>
                  <c:pt idx="0">
                    <c:v>3 pts dans le coin</c:v>
                  </c:pt>
                </c:lvl>
                <c:lvl>
                  <c:pt idx="0">
                    <c:v>Mi-distance</c:v>
                  </c:pt>
                </c:lvl>
                <c:lvl>
                  <c:pt idx="0">
                    <c:v>Raquette</c:v>
                  </c:pt>
                </c:lvl>
                <c:lvl>
                  <c:pt idx="0">
                    <c:v>Sous le panier</c:v>
                  </c:pt>
                </c:lvl>
              </c:multiLvlStrCache>
            </c:multiLvlStrRef>
          </c:cat>
          <c:val>
            <c:numRef>
              <c:f>Rendement!$B$26:$F$26</c:f>
              <c:numCache>
                <c:formatCode>0.00</c:formatCode>
                <c:ptCount val="5"/>
                <c:pt idx="0">
                  <c:v>1.327</c:v>
                </c:pt>
                <c:pt idx="1">
                  <c:v>0.887</c:v>
                </c:pt>
                <c:pt idx="2">
                  <c:v>0.834</c:v>
                </c:pt>
                <c:pt idx="3">
                  <c:v>1.164</c:v>
                </c:pt>
                <c:pt idx="4">
                  <c:v>1.06</c:v>
                </c:pt>
              </c:numCache>
            </c:numRef>
          </c:val>
        </c:ser>
        <c:gapWidth val="150"/>
        <c:overlap val="0"/>
        <c:axId val="23355818"/>
        <c:axId val="5041189"/>
      </c:barChart>
      <c:catAx>
        <c:axId val="233558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Zone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41189"/>
        <c:crosses val="autoZero"/>
        <c:auto val="1"/>
        <c:lblAlgn val="ctr"/>
        <c:lblOffset val="100"/>
        <c:noMultiLvlLbl val="0"/>
      </c:catAx>
      <c:valAx>
        <c:axId val="50411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Points par tir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3558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Quand tout le monde quitte un canal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Correlation!B4</c:f>
              <c:strCache>
                <c:ptCount val="1"/>
                <c:pt idx="0">
                  <c:v>Corrélation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Correlation!$A$5:$A$26</c:f>
              <c:strCache>
                <c:ptCount val="22"/>
                <c:pt idx="0">
                  <c:v>2003-04</c:v>
                </c:pt>
                <c:pt idx="1">
                  <c:v>2004-05</c:v>
                </c:pt>
                <c:pt idx="2">
                  <c:v>2005-06</c:v>
                </c:pt>
                <c:pt idx="3">
                  <c:v>2006-07</c:v>
                </c:pt>
                <c:pt idx="4">
                  <c:v>2007-08</c:v>
                </c:pt>
                <c:pt idx="5">
                  <c:v>2008-09</c:v>
                </c:pt>
                <c:pt idx="6">
                  <c:v>2009-10</c:v>
                </c:pt>
                <c:pt idx="7">
                  <c:v>2010-11</c:v>
                </c:pt>
                <c:pt idx="8">
                  <c:v>2011-12</c:v>
                </c:pt>
                <c:pt idx="9">
                  <c:v>2012-13</c:v>
                </c:pt>
                <c:pt idx="10">
                  <c:v>2013-14</c:v>
                </c:pt>
                <c:pt idx="11">
                  <c:v>2014-15</c:v>
                </c:pt>
                <c:pt idx="12">
                  <c:v>2015-16</c:v>
                </c:pt>
                <c:pt idx="13">
                  <c:v>2016-17</c:v>
                </c:pt>
                <c:pt idx="14">
                  <c:v>2017-18</c:v>
                </c:pt>
                <c:pt idx="15">
                  <c:v>2018-19</c:v>
                </c:pt>
                <c:pt idx="16">
                  <c:v>2019-20</c:v>
                </c:pt>
                <c:pt idx="17">
                  <c:v>2020-21</c:v>
                </c:pt>
                <c:pt idx="18">
                  <c:v>2021-22</c:v>
                </c:pt>
                <c:pt idx="19">
                  <c:v>2022-23</c:v>
                </c:pt>
                <c:pt idx="20">
                  <c:v>2023-24</c:v>
                </c:pt>
                <c:pt idx="21">
                  <c:v>2024-25</c:v>
                </c:pt>
              </c:strCache>
            </c:strRef>
          </c:cat>
          <c:val>
            <c:numRef>
              <c:f>Correlation!$B$5:$B$26</c:f>
              <c:numCache>
                <c:formatCode>0.00</c:formatCode>
                <c:ptCount val="22"/>
                <c:pt idx="0">
                  <c:v>-0.21</c:v>
                </c:pt>
                <c:pt idx="1">
                  <c:v>-0.47</c:v>
                </c:pt>
                <c:pt idx="2">
                  <c:v>-0.38</c:v>
                </c:pt>
                <c:pt idx="3">
                  <c:v>-0.48</c:v>
                </c:pt>
                <c:pt idx="4">
                  <c:v>-0.49</c:v>
                </c:pt>
                <c:pt idx="5">
                  <c:v>-0.44</c:v>
                </c:pt>
                <c:pt idx="6">
                  <c:v>-0.51</c:v>
                </c:pt>
                <c:pt idx="7">
                  <c:v>-0.41</c:v>
                </c:pt>
                <c:pt idx="8">
                  <c:v>-0.42</c:v>
                </c:pt>
                <c:pt idx="9">
                  <c:v>-0.5</c:v>
                </c:pt>
                <c:pt idx="10">
                  <c:v>-0.35</c:v>
                </c:pt>
                <c:pt idx="11">
                  <c:v>-0.35</c:v>
                </c:pt>
                <c:pt idx="12">
                  <c:v>-0.24</c:v>
                </c:pt>
                <c:pt idx="13">
                  <c:v>-0.38</c:v>
                </c:pt>
                <c:pt idx="14">
                  <c:v>-0.25</c:v>
                </c:pt>
                <c:pt idx="15">
                  <c:v>-0.03</c:v>
                </c:pt>
                <c:pt idx="16">
                  <c:v>-0.06</c:v>
                </c:pt>
                <c:pt idx="17">
                  <c:v>0.03</c:v>
                </c:pt>
                <c:pt idx="18">
                  <c:v>0.11</c:v>
                </c:pt>
                <c:pt idx="19">
                  <c:v>-0.05</c:v>
                </c:pt>
                <c:pt idx="20">
                  <c:v>0.19</c:v>
                </c:pt>
                <c:pt idx="21">
                  <c:v>0.21</c:v>
                </c:pt>
              </c:numCache>
            </c:numRef>
          </c:val>
        </c:ser>
        <c:gapWidth val="150"/>
        <c:overlap val="0"/>
        <c:axId val="26475420"/>
        <c:axId val="32436354"/>
      </c:barChart>
      <c:catAx>
        <c:axId val="264754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Saison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436354"/>
        <c:crosses val="autoZero"/>
        <c:auto val="1"/>
        <c:lblAlgn val="ctr"/>
        <c:lblOffset val="100"/>
        <c:noMultiLvlLbl val="0"/>
      </c:catAx>
      <c:valAx>
        <c:axId val="324363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Corrélation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754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160920</xdr:rowOff>
    </xdr:from>
    <xdr:to>
      <xdr:col>20</xdr:col>
      <xdr:colOff>364680</xdr:colOff>
      <xdr:row>18</xdr:row>
      <xdr:rowOff>142920</xdr:rowOff>
    </xdr:to>
    <xdr:graphicFrame>
      <xdr:nvGraphicFramePr>
        <xdr:cNvPr id="0" name="Chart 1"/>
        <xdr:cNvGraphicFramePr/>
      </xdr:nvGraphicFramePr>
      <xdr:xfrm>
        <a:off x="1104336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17</xdr:col>
      <xdr:colOff>364680</xdr:colOff>
      <xdr:row>18</xdr:row>
      <xdr:rowOff>142920</xdr:rowOff>
    </xdr:to>
    <xdr:graphicFrame>
      <xdr:nvGraphicFramePr>
        <xdr:cNvPr id="1" name="Chart 1"/>
        <xdr:cNvGraphicFramePr/>
      </xdr:nvGraphicFramePr>
      <xdr:xfrm>
        <a:off x="737820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160920</xdr:rowOff>
    </xdr:from>
    <xdr:to>
      <xdr:col>14</xdr:col>
      <xdr:colOff>364680</xdr:colOff>
      <xdr:row>18</xdr:row>
      <xdr:rowOff>142920</xdr:rowOff>
    </xdr:to>
    <xdr:graphicFrame>
      <xdr:nvGraphicFramePr>
        <xdr:cNvPr id="2" name="Chart 1"/>
        <xdr:cNvGraphicFramePr/>
      </xdr:nvGraphicFramePr>
      <xdr:xfrm>
        <a:off x="498168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2" t="s">
        <v>10</v>
      </c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2" t="s">
        <v>12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2"/>
  </cols>
  <sheetData>
    <row r="1" customFormat="false" ht="17.35" hidden="false" customHeight="false" outlineLevel="0" collapsed="false">
      <c r="A1" s="1" t="s">
        <v>14</v>
      </c>
    </row>
    <row r="2" customFormat="false" ht="15" hidden="false" customHeight="false" outlineLevel="0" collapsed="false">
      <c r="A2" s="4" t="s">
        <v>15</v>
      </c>
    </row>
    <row r="4" customFormat="false" ht="31.5" hidden="false" customHeight="true" outlineLevel="0" collapsed="false">
      <c r="A4" s="5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  <c r="G4" s="5" t="s">
        <v>22</v>
      </c>
      <c r="H4" s="5" t="s">
        <v>23</v>
      </c>
      <c r="I4" s="5" t="s">
        <v>24</v>
      </c>
    </row>
    <row r="5" customFormat="false" ht="15" hidden="false" customHeight="false" outlineLevel="0" collapsed="false">
      <c r="A5" s="3" t="s">
        <v>25</v>
      </c>
      <c r="B5" s="6" t="n">
        <v>0.313</v>
      </c>
      <c r="C5" s="6" t="n">
        <v>0.144</v>
      </c>
      <c r="D5" s="6" t="n">
        <v>0.357</v>
      </c>
      <c r="E5" s="6" t="n">
        <v>0.05</v>
      </c>
      <c r="F5" s="6" t="n">
        <v>0.135</v>
      </c>
      <c r="G5" s="7" t="n">
        <f aca="false">B5+C5</f>
        <v>0.457</v>
      </c>
      <c r="H5" s="7" t="n">
        <f aca="false">E5+F5</f>
        <v>0.185</v>
      </c>
      <c r="I5" s="7" t="n">
        <f aca="false">D5</f>
        <v>0.357</v>
      </c>
    </row>
    <row r="6" customFormat="false" ht="15" hidden="false" customHeight="false" outlineLevel="0" collapsed="false">
      <c r="A6" s="3" t="s">
        <v>26</v>
      </c>
      <c r="B6" s="6" t="n">
        <v>0.32</v>
      </c>
      <c r="C6" s="6" t="n">
        <v>0.131</v>
      </c>
      <c r="D6" s="6" t="n">
        <v>0.355</v>
      </c>
      <c r="E6" s="6" t="n">
        <v>0.055</v>
      </c>
      <c r="F6" s="6" t="n">
        <v>0.139</v>
      </c>
      <c r="G6" s="7" t="n">
        <f aca="false">B6+C6</f>
        <v>0.451</v>
      </c>
      <c r="H6" s="7" t="n">
        <f aca="false">E6+F6</f>
        <v>0.194</v>
      </c>
      <c r="I6" s="7" t="n">
        <f aca="false">D6</f>
        <v>0.355</v>
      </c>
    </row>
    <row r="7" customFormat="false" ht="15" hidden="false" customHeight="false" outlineLevel="0" collapsed="false">
      <c r="A7" s="3" t="s">
        <v>27</v>
      </c>
      <c r="B7" s="6" t="n">
        <v>0.325</v>
      </c>
      <c r="C7" s="6" t="n">
        <v>0.129</v>
      </c>
      <c r="D7" s="6" t="n">
        <v>0.345</v>
      </c>
      <c r="E7" s="6" t="n">
        <v>0.057</v>
      </c>
      <c r="F7" s="6" t="n">
        <v>0.143</v>
      </c>
      <c r="G7" s="7" t="n">
        <f aca="false">B7+C7</f>
        <v>0.454</v>
      </c>
      <c r="H7" s="7" t="n">
        <f aca="false">E7+F7</f>
        <v>0.2</v>
      </c>
      <c r="I7" s="7" t="n">
        <f aca="false">D7</f>
        <v>0.345</v>
      </c>
    </row>
    <row r="8" customFormat="false" ht="15" hidden="false" customHeight="false" outlineLevel="0" collapsed="false">
      <c r="A8" s="3" t="s">
        <v>28</v>
      </c>
      <c r="B8" s="6" t="n">
        <v>0.33</v>
      </c>
      <c r="C8" s="6" t="n">
        <v>0.129</v>
      </c>
      <c r="D8" s="6" t="n">
        <v>0.331</v>
      </c>
      <c r="E8" s="6" t="n">
        <v>0.06</v>
      </c>
      <c r="F8" s="6" t="n">
        <v>0.151</v>
      </c>
      <c r="G8" s="7" t="n">
        <f aca="false">B8+C8</f>
        <v>0.459</v>
      </c>
      <c r="H8" s="7" t="n">
        <f aca="false">E8+F8</f>
        <v>0.211</v>
      </c>
      <c r="I8" s="7" t="n">
        <f aca="false">D8</f>
        <v>0.331</v>
      </c>
    </row>
    <row r="9" customFormat="false" ht="15" hidden="false" customHeight="false" outlineLevel="0" collapsed="false">
      <c r="A9" s="3" t="s">
        <v>29</v>
      </c>
      <c r="B9" s="6" t="n">
        <v>0.321</v>
      </c>
      <c r="C9" s="6" t="n">
        <v>0.13</v>
      </c>
      <c r="D9" s="6" t="n">
        <v>0.33</v>
      </c>
      <c r="E9" s="6" t="n">
        <v>0.061</v>
      </c>
      <c r="F9" s="6" t="n">
        <v>0.159</v>
      </c>
      <c r="G9" s="7" t="n">
        <f aca="false">B9+C9</f>
        <v>0.451</v>
      </c>
      <c r="H9" s="7" t="n">
        <f aca="false">E9+F9</f>
        <v>0.22</v>
      </c>
      <c r="I9" s="7" t="n">
        <f aca="false">D9</f>
        <v>0.33</v>
      </c>
    </row>
    <row r="10" customFormat="false" ht="15" hidden="false" customHeight="false" outlineLevel="0" collapsed="false">
      <c r="A10" s="3" t="s">
        <v>30</v>
      </c>
      <c r="B10" s="6" t="n">
        <v>0.328</v>
      </c>
      <c r="C10" s="6" t="n">
        <v>0.128</v>
      </c>
      <c r="D10" s="6" t="n">
        <v>0.322</v>
      </c>
      <c r="E10" s="6" t="n">
        <v>0.064</v>
      </c>
      <c r="F10" s="6" t="n">
        <v>0.158</v>
      </c>
      <c r="G10" s="7" t="n">
        <f aca="false">B10+C10</f>
        <v>0.456</v>
      </c>
      <c r="H10" s="7" t="n">
        <f aca="false">E10+F10</f>
        <v>0.222</v>
      </c>
      <c r="I10" s="7" t="n">
        <f aca="false">D10</f>
        <v>0.322</v>
      </c>
    </row>
    <row r="11" customFormat="false" ht="15" hidden="false" customHeight="false" outlineLevel="0" collapsed="false">
      <c r="A11" s="3" t="s">
        <v>31</v>
      </c>
      <c r="B11" s="6" t="n">
        <v>0.333</v>
      </c>
      <c r="C11" s="6" t="n">
        <v>0.132</v>
      </c>
      <c r="D11" s="6" t="n">
        <v>0.315</v>
      </c>
      <c r="E11" s="6" t="n">
        <v>0.059</v>
      </c>
      <c r="F11" s="6" t="n">
        <v>0.161</v>
      </c>
      <c r="G11" s="7" t="n">
        <f aca="false">B11+C11</f>
        <v>0.465</v>
      </c>
      <c r="H11" s="7" t="n">
        <f aca="false">E11+F11</f>
        <v>0.22</v>
      </c>
      <c r="I11" s="7" t="n">
        <f aca="false">D11</f>
        <v>0.315</v>
      </c>
    </row>
    <row r="12" customFormat="false" ht="15" hidden="false" customHeight="false" outlineLevel="0" collapsed="false">
      <c r="A12" s="3" t="s">
        <v>32</v>
      </c>
      <c r="B12" s="6" t="n">
        <v>0.316</v>
      </c>
      <c r="C12" s="6" t="n">
        <v>0.153</v>
      </c>
      <c r="D12" s="6" t="n">
        <v>0.311</v>
      </c>
      <c r="E12" s="6" t="n">
        <v>0.062</v>
      </c>
      <c r="F12" s="6" t="n">
        <v>0.158</v>
      </c>
      <c r="G12" s="7" t="n">
        <f aca="false">B12+C12</f>
        <v>0.469</v>
      </c>
      <c r="H12" s="7" t="n">
        <f aca="false">E12+F12</f>
        <v>0.22</v>
      </c>
      <c r="I12" s="7" t="n">
        <f aca="false">D12</f>
        <v>0.311</v>
      </c>
    </row>
    <row r="13" customFormat="false" ht="15" hidden="false" customHeight="false" outlineLevel="0" collapsed="false">
      <c r="A13" s="3" t="s">
        <v>33</v>
      </c>
      <c r="B13" s="6" t="n">
        <v>0.324</v>
      </c>
      <c r="C13" s="6" t="n">
        <v>0.149</v>
      </c>
      <c r="D13" s="6" t="n">
        <v>0.303</v>
      </c>
      <c r="E13" s="6" t="n">
        <v>0.061</v>
      </c>
      <c r="F13" s="6" t="n">
        <v>0.163</v>
      </c>
      <c r="G13" s="7" t="n">
        <f aca="false">B13+C13</f>
        <v>0.473</v>
      </c>
      <c r="H13" s="7" t="n">
        <f aca="false">E13+F13</f>
        <v>0.224</v>
      </c>
      <c r="I13" s="7" t="n">
        <f aca="false">D13</f>
        <v>0.303</v>
      </c>
    </row>
    <row r="14" customFormat="false" ht="15" hidden="false" customHeight="false" outlineLevel="0" collapsed="false">
      <c r="A14" s="3" t="s">
        <v>34</v>
      </c>
      <c r="B14" s="6" t="n">
        <v>0.329</v>
      </c>
      <c r="C14" s="6" t="n">
        <v>0.146</v>
      </c>
      <c r="D14" s="6" t="n">
        <v>0.284</v>
      </c>
      <c r="E14" s="6" t="n">
        <v>0.067</v>
      </c>
      <c r="F14" s="6" t="n">
        <v>0.174</v>
      </c>
      <c r="G14" s="7" t="n">
        <f aca="false">B14+C14</f>
        <v>0.475</v>
      </c>
      <c r="H14" s="7" t="n">
        <f aca="false">E14+F14</f>
        <v>0.241</v>
      </c>
      <c r="I14" s="7" t="n">
        <f aca="false">D14</f>
        <v>0.284</v>
      </c>
    </row>
    <row r="15" customFormat="false" ht="15" hidden="false" customHeight="false" outlineLevel="0" collapsed="false">
      <c r="A15" s="3" t="s">
        <v>35</v>
      </c>
      <c r="B15" s="6" t="n">
        <v>0.324</v>
      </c>
      <c r="C15" s="6" t="n">
        <v>0.15</v>
      </c>
      <c r="D15" s="6" t="n">
        <v>0.269</v>
      </c>
      <c r="E15" s="6" t="n">
        <v>0.066</v>
      </c>
      <c r="F15" s="6" t="n">
        <v>0.191</v>
      </c>
      <c r="G15" s="7" t="n">
        <f aca="false">B15+C15</f>
        <v>0.474</v>
      </c>
      <c r="H15" s="7" t="n">
        <f aca="false">E15+F15</f>
        <v>0.257</v>
      </c>
      <c r="I15" s="7" t="n">
        <f aca="false">D15</f>
        <v>0.269</v>
      </c>
    </row>
    <row r="16" customFormat="false" ht="15" hidden="false" customHeight="false" outlineLevel="0" collapsed="false">
      <c r="A16" s="3" t="s">
        <v>36</v>
      </c>
      <c r="B16" s="6" t="n">
        <v>0.322</v>
      </c>
      <c r="C16" s="6" t="n">
        <v>0.149</v>
      </c>
      <c r="D16" s="6" t="n">
        <v>0.262</v>
      </c>
      <c r="E16" s="6" t="n">
        <v>0.07</v>
      </c>
      <c r="F16" s="6" t="n">
        <v>0.197</v>
      </c>
      <c r="G16" s="7" t="n">
        <f aca="false">B16+C16</f>
        <v>0.471</v>
      </c>
      <c r="H16" s="7" t="n">
        <f aca="false">E16+F16</f>
        <v>0.267</v>
      </c>
      <c r="I16" s="7" t="n">
        <f aca="false">D16</f>
        <v>0.262</v>
      </c>
    </row>
    <row r="17" customFormat="false" ht="15" hidden="false" customHeight="false" outlineLevel="0" collapsed="false">
      <c r="A17" s="3" t="s">
        <v>37</v>
      </c>
      <c r="B17" s="6" t="n">
        <v>0.325</v>
      </c>
      <c r="C17" s="6" t="n">
        <v>0.146</v>
      </c>
      <c r="D17" s="6" t="n">
        <v>0.246</v>
      </c>
      <c r="E17" s="6" t="n">
        <v>0.073</v>
      </c>
      <c r="F17" s="6" t="n">
        <v>0.209</v>
      </c>
      <c r="G17" s="7" t="n">
        <f aca="false">B17+C17</f>
        <v>0.471</v>
      </c>
      <c r="H17" s="7" t="n">
        <f aca="false">E17+F17</f>
        <v>0.282</v>
      </c>
      <c r="I17" s="7" t="n">
        <f aca="false">D17</f>
        <v>0.246</v>
      </c>
    </row>
    <row r="18" customFormat="false" ht="15" hidden="false" customHeight="false" outlineLevel="0" collapsed="false">
      <c r="A18" s="3" t="s">
        <v>38</v>
      </c>
      <c r="B18" s="6" t="n">
        <v>0.321</v>
      </c>
      <c r="C18" s="6" t="n">
        <v>0.142</v>
      </c>
      <c r="D18" s="6" t="n">
        <v>0.222</v>
      </c>
      <c r="E18" s="6" t="n">
        <v>0.075</v>
      </c>
      <c r="F18" s="6" t="n">
        <v>0.239</v>
      </c>
      <c r="G18" s="7" t="n">
        <f aca="false">B18+C18</f>
        <v>0.463</v>
      </c>
      <c r="H18" s="7" t="n">
        <f aca="false">E18+F18</f>
        <v>0.314</v>
      </c>
      <c r="I18" s="7" t="n">
        <f aca="false">D18</f>
        <v>0.222</v>
      </c>
    </row>
    <row r="19" customFormat="false" ht="15" hidden="false" customHeight="false" outlineLevel="0" collapsed="false">
      <c r="A19" s="3" t="s">
        <v>39</v>
      </c>
      <c r="B19" s="6" t="n">
        <v>0.317</v>
      </c>
      <c r="C19" s="6" t="n">
        <v>0.157</v>
      </c>
      <c r="D19" s="6" t="n">
        <v>0.191</v>
      </c>
      <c r="E19" s="6" t="n">
        <v>0.074</v>
      </c>
      <c r="F19" s="6" t="n">
        <v>0.261</v>
      </c>
      <c r="G19" s="7" t="n">
        <f aca="false">B19+C19</f>
        <v>0.474</v>
      </c>
      <c r="H19" s="7" t="n">
        <f aca="false">E19+F19</f>
        <v>0.335</v>
      </c>
      <c r="I19" s="7" t="n">
        <f aca="false">D19</f>
        <v>0.191</v>
      </c>
    </row>
    <row r="20" customFormat="false" ht="15" hidden="false" customHeight="false" outlineLevel="0" collapsed="false">
      <c r="A20" s="3" t="s">
        <v>40</v>
      </c>
      <c r="B20" s="6" t="n">
        <v>0.331</v>
      </c>
      <c r="C20" s="6" t="n">
        <v>0.16</v>
      </c>
      <c r="D20" s="6" t="n">
        <v>0.152</v>
      </c>
      <c r="E20" s="6" t="n">
        <v>0.082</v>
      </c>
      <c r="F20" s="6" t="n">
        <v>0.275</v>
      </c>
      <c r="G20" s="7" t="n">
        <f aca="false">B20+C20</f>
        <v>0.491</v>
      </c>
      <c r="H20" s="7" t="n">
        <f aca="false">E20+F20</f>
        <v>0.357</v>
      </c>
      <c r="I20" s="7" t="n">
        <f aca="false">D20</f>
        <v>0.152</v>
      </c>
    </row>
    <row r="21" customFormat="false" ht="15" hidden="false" customHeight="false" outlineLevel="0" collapsed="false">
      <c r="A21" s="3" t="s">
        <v>41</v>
      </c>
      <c r="B21" s="6" t="n">
        <v>0.322</v>
      </c>
      <c r="C21" s="6" t="n">
        <v>0.162</v>
      </c>
      <c r="D21" s="6" t="n">
        <v>0.134</v>
      </c>
      <c r="E21" s="6" t="n">
        <v>0.087</v>
      </c>
      <c r="F21" s="6" t="n">
        <v>0.296</v>
      </c>
      <c r="G21" s="7" t="n">
        <f aca="false">B21+C21</f>
        <v>0.484</v>
      </c>
      <c r="H21" s="7" t="n">
        <f aca="false">E21+F21</f>
        <v>0.383</v>
      </c>
      <c r="I21" s="7" t="n">
        <f aca="false">D21</f>
        <v>0.134</v>
      </c>
    </row>
    <row r="22" customFormat="false" ht="15" hidden="false" customHeight="false" outlineLevel="0" collapsed="false">
      <c r="A22" s="3" t="s">
        <v>42</v>
      </c>
      <c r="B22" s="6" t="n">
        <v>0.301</v>
      </c>
      <c r="C22" s="6" t="n">
        <v>0.179</v>
      </c>
      <c r="D22" s="6" t="n">
        <v>0.129</v>
      </c>
      <c r="E22" s="6" t="n">
        <v>0.092</v>
      </c>
      <c r="F22" s="6" t="n">
        <v>0.298</v>
      </c>
      <c r="G22" s="7" t="n">
        <f aca="false">B22+C22</f>
        <v>0.48</v>
      </c>
      <c r="H22" s="7" t="n">
        <f aca="false">E22+F22</f>
        <v>0.39</v>
      </c>
      <c r="I22" s="7" t="n">
        <f aca="false">D22</f>
        <v>0.129</v>
      </c>
    </row>
    <row r="23" customFormat="false" ht="15" hidden="false" customHeight="false" outlineLevel="0" collapsed="false">
      <c r="A23" s="3" t="s">
        <v>43</v>
      </c>
      <c r="B23" s="6" t="n">
        <v>0.291</v>
      </c>
      <c r="C23" s="6" t="n">
        <v>0.183</v>
      </c>
      <c r="D23" s="6" t="n">
        <v>0.128</v>
      </c>
      <c r="E23" s="6" t="n">
        <v>0.099</v>
      </c>
      <c r="F23" s="6" t="n">
        <v>0.298</v>
      </c>
      <c r="G23" s="7" t="n">
        <f aca="false">B23+C23</f>
        <v>0.474</v>
      </c>
      <c r="H23" s="7" t="n">
        <f aca="false">E23+F23</f>
        <v>0.397</v>
      </c>
      <c r="I23" s="7" t="n">
        <f aca="false">D23</f>
        <v>0.128</v>
      </c>
    </row>
    <row r="24" customFormat="false" ht="15" hidden="false" customHeight="false" outlineLevel="0" collapsed="false">
      <c r="A24" s="3" t="s">
        <v>44</v>
      </c>
      <c r="B24" s="6" t="n">
        <v>0.3</v>
      </c>
      <c r="C24" s="6" t="n">
        <v>0.196</v>
      </c>
      <c r="D24" s="6" t="n">
        <v>0.119</v>
      </c>
      <c r="E24" s="6" t="n">
        <v>0.097</v>
      </c>
      <c r="F24" s="6" t="n">
        <v>0.289</v>
      </c>
      <c r="G24" s="7" t="n">
        <f aca="false">B24+C24</f>
        <v>0.496</v>
      </c>
      <c r="H24" s="7" t="n">
        <f aca="false">E24+F24</f>
        <v>0.386</v>
      </c>
      <c r="I24" s="7" t="n">
        <f aca="false">D24</f>
        <v>0.119</v>
      </c>
    </row>
    <row r="25" customFormat="false" ht="15" hidden="false" customHeight="false" outlineLevel="0" collapsed="false">
      <c r="A25" s="3" t="s">
        <v>45</v>
      </c>
      <c r="B25" s="6" t="n">
        <v>0.296</v>
      </c>
      <c r="C25" s="6" t="n">
        <v>0.197</v>
      </c>
      <c r="D25" s="6" t="n">
        <v>0.113</v>
      </c>
      <c r="E25" s="6" t="n">
        <v>0.101</v>
      </c>
      <c r="F25" s="6" t="n">
        <v>0.292</v>
      </c>
      <c r="G25" s="7" t="n">
        <f aca="false">B25+C25</f>
        <v>0.493</v>
      </c>
      <c r="H25" s="7" t="n">
        <f aca="false">E25+F25</f>
        <v>0.393</v>
      </c>
      <c r="I25" s="7" t="n">
        <f aca="false">D25</f>
        <v>0.113</v>
      </c>
    </row>
    <row r="26" customFormat="false" ht="15" hidden="false" customHeight="false" outlineLevel="0" collapsed="false">
      <c r="A26" s="3" t="s">
        <v>46</v>
      </c>
      <c r="B26" s="6" t="n">
        <v>0.279</v>
      </c>
      <c r="C26" s="6" t="n">
        <v>0.203</v>
      </c>
      <c r="D26" s="6" t="n">
        <v>0.098</v>
      </c>
      <c r="E26" s="6" t="n">
        <v>0.108</v>
      </c>
      <c r="F26" s="6" t="n">
        <v>0.312</v>
      </c>
      <c r="G26" s="7" t="n">
        <f aca="false">B26+C26</f>
        <v>0.482</v>
      </c>
      <c r="H26" s="7" t="n">
        <f aca="false">E26+F26</f>
        <v>0.42</v>
      </c>
      <c r="I26" s="7" t="n">
        <f aca="false">D26</f>
        <v>0.098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20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47</v>
      </c>
    </row>
    <row r="2" customFormat="false" ht="15" hidden="false" customHeight="false" outlineLevel="0" collapsed="false">
      <c r="A2" s="4" t="s">
        <v>48</v>
      </c>
    </row>
    <row r="4" customFormat="false" ht="31.5" hidden="false" customHeight="true" outlineLevel="0" collapsed="false">
      <c r="A4" s="5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</row>
    <row r="5" customFormat="false" ht="15" hidden="false" customHeight="false" outlineLevel="0" collapsed="false">
      <c r="A5" s="3" t="s">
        <v>25</v>
      </c>
      <c r="B5" s="8" t="n">
        <v>1.164</v>
      </c>
      <c r="C5" s="8" t="n">
        <v>0.772</v>
      </c>
      <c r="D5" s="8" t="n">
        <v>0.764</v>
      </c>
      <c r="E5" s="8" t="n">
        <v>1.131</v>
      </c>
      <c r="F5" s="8" t="n">
        <v>1.021</v>
      </c>
    </row>
    <row r="6" customFormat="false" ht="15" hidden="false" customHeight="false" outlineLevel="0" collapsed="false">
      <c r="A6" s="3" t="s">
        <v>26</v>
      </c>
      <c r="B6" s="8" t="n">
        <v>1.171</v>
      </c>
      <c r="C6" s="8" t="n">
        <v>0.796</v>
      </c>
      <c r="D6" s="8" t="n">
        <v>0.785</v>
      </c>
      <c r="E6" s="8" t="n">
        <v>1.149</v>
      </c>
      <c r="F6" s="8" t="n">
        <v>1.047</v>
      </c>
    </row>
    <row r="7" customFormat="false" ht="15" hidden="false" customHeight="false" outlineLevel="0" collapsed="false">
      <c r="A7" s="3" t="s">
        <v>27</v>
      </c>
      <c r="B7" s="8" t="n">
        <v>1.184</v>
      </c>
      <c r="C7" s="8" t="n">
        <v>0.81</v>
      </c>
      <c r="D7" s="8" t="n">
        <v>0.796</v>
      </c>
      <c r="E7" s="8" t="n">
        <v>1.166</v>
      </c>
      <c r="F7" s="8" t="n">
        <v>1.052</v>
      </c>
    </row>
    <row r="8" customFormat="false" ht="15" hidden="false" customHeight="false" outlineLevel="0" collapsed="false">
      <c r="A8" s="3" t="s">
        <v>28</v>
      </c>
      <c r="B8" s="8" t="n">
        <v>1.2</v>
      </c>
      <c r="C8" s="8" t="n">
        <v>0.826</v>
      </c>
      <c r="D8" s="8" t="n">
        <v>0.798</v>
      </c>
      <c r="E8" s="8" t="n">
        <v>1.152</v>
      </c>
      <c r="F8" s="8" t="n">
        <v>1.056</v>
      </c>
    </row>
    <row r="9" customFormat="false" ht="15" hidden="false" customHeight="false" outlineLevel="0" collapsed="false">
      <c r="A9" s="3" t="s">
        <v>29</v>
      </c>
      <c r="B9" s="8" t="n">
        <v>1.199</v>
      </c>
      <c r="C9" s="8" t="n">
        <v>0.817</v>
      </c>
      <c r="D9" s="8" t="n">
        <v>0.804</v>
      </c>
      <c r="E9" s="8" t="n">
        <v>1.185</v>
      </c>
      <c r="F9" s="8" t="n">
        <v>1.063</v>
      </c>
    </row>
    <row r="10" customFormat="false" ht="15" hidden="false" customHeight="false" outlineLevel="0" collapsed="false">
      <c r="A10" s="3" t="s">
        <v>30</v>
      </c>
      <c r="B10" s="8" t="n">
        <v>1.192</v>
      </c>
      <c r="C10" s="8" t="n">
        <v>0.825</v>
      </c>
      <c r="D10" s="8" t="n">
        <v>0.803</v>
      </c>
      <c r="E10" s="8" t="n">
        <v>1.182</v>
      </c>
      <c r="F10" s="8" t="n">
        <v>1.082</v>
      </c>
    </row>
    <row r="11" customFormat="false" ht="15" hidden="false" customHeight="false" outlineLevel="0" collapsed="false">
      <c r="A11" s="3" t="s">
        <v>31</v>
      </c>
      <c r="B11" s="8" t="n">
        <v>1.212</v>
      </c>
      <c r="C11" s="8" t="n">
        <v>0.846</v>
      </c>
      <c r="D11" s="8" t="n">
        <v>0.8</v>
      </c>
      <c r="E11" s="8" t="n">
        <v>1.173</v>
      </c>
      <c r="F11" s="8" t="n">
        <v>1.037</v>
      </c>
    </row>
    <row r="12" customFormat="false" ht="15" hidden="false" customHeight="false" outlineLevel="0" collapsed="false">
      <c r="A12" s="3" t="s">
        <v>32</v>
      </c>
      <c r="B12" s="8" t="n">
        <v>1.24</v>
      </c>
      <c r="C12" s="8" t="n">
        <v>0.78</v>
      </c>
      <c r="D12" s="8" t="n">
        <v>0.801</v>
      </c>
      <c r="E12" s="8" t="n">
        <v>1.182</v>
      </c>
      <c r="F12" s="8" t="n">
        <v>1.048</v>
      </c>
    </row>
    <row r="13" customFormat="false" ht="15" hidden="false" customHeight="false" outlineLevel="0" collapsed="false">
      <c r="A13" s="3" t="s">
        <v>33</v>
      </c>
      <c r="B13" s="8" t="n">
        <v>1.21</v>
      </c>
      <c r="C13" s="8" t="n">
        <v>0.762</v>
      </c>
      <c r="D13" s="8" t="n">
        <v>0.775</v>
      </c>
      <c r="E13" s="8" t="n">
        <v>1.127</v>
      </c>
      <c r="F13" s="8" t="n">
        <v>1.026</v>
      </c>
    </row>
    <row r="14" customFormat="false" ht="15" hidden="false" customHeight="false" outlineLevel="0" collapsed="false">
      <c r="A14" s="3" t="s">
        <v>34</v>
      </c>
      <c r="B14" s="8" t="n">
        <v>1.209</v>
      </c>
      <c r="C14" s="8" t="n">
        <v>0.769</v>
      </c>
      <c r="D14" s="8" t="n">
        <v>0.785</v>
      </c>
      <c r="E14" s="8" t="n">
        <v>1.169</v>
      </c>
      <c r="F14" s="8" t="n">
        <v>1.053</v>
      </c>
    </row>
    <row r="15" customFormat="false" ht="15" hidden="false" customHeight="false" outlineLevel="0" collapsed="false">
      <c r="A15" s="3" t="s">
        <v>35</v>
      </c>
      <c r="B15" s="8" t="n">
        <v>1.217</v>
      </c>
      <c r="C15" s="8" t="n">
        <v>0.786</v>
      </c>
      <c r="D15" s="8" t="n">
        <v>0.789</v>
      </c>
      <c r="E15" s="8" t="n">
        <v>1.171</v>
      </c>
      <c r="F15" s="8" t="n">
        <v>1.058</v>
      </c>
    </row>
    <row r="16" customFormat="false" ht="15" hidden="false" customHeight="false" outlineLevel="0" collapsed="false">
      <c r="A16" s="3" t="s">
        <v>36</v>
      </c>
      <c r="B16" s="8" t="n">
        <v>1.202</v>
      </c>
      <c r="C16" s="8" t="n">
        <v>0.785</v>
      </c>
      <c r="D16" s="8" t="n">
        <v>0.791</v>
      </c>
      <c r="E16" s="8" t="n">
        <v>1.157</v>
      </c>
      <c r="F16" s="8" t="n">
        <v>1.022</v>
      </c>
    </row>
    <row r="17" customFormat="false" ht="15" hidden="false" customHeight="false" outlineLevel="0" collapsed="false">
      <c r="A17" s="3" t="s">
        <v>37</v>
      </c>
      <c r="B17" s="8" t="n">
        <v>1.205</v>
      </c>
      <c r="C17" s="8" t="n">
        <v>0.8</v>
      </c>
      <c r="D17" s="8" t="n">
        <v>0.797</v>
      </c>
      <c r="E17" s="8" t="n">
        <v>1.131</v>
      </c>
      <c r="F17" s="8" t="n">
        <v>1.046</v>
      </c>
    </row>
    <row r="18" customFormat="false" ht="15" hidden="false" customHeight="false" outlineLevel="0" collapsed="false">
      <c r="A18" s="3" t="s">
        <v>38</v>
      </c>
      <c r="B18" s="8" t="n">
        <v>1.222</v>
      </c>
      <c r="C18" s="8" t="n">
        <v>0.835</v>
      </c>
      <c r="D18" s="8" t="n">
        <v>0.805</v>
      </c>
      <c r="E18" s="8" t="n">
        <v>1.162</v>
      </c>
      <c r="F18" s="8" t="n">
        <v>1.054</v>
      </c>
    </row>
    <row r="19" customFormat="false" ht="15" hidden="false" customHeight="false" outlineLevel="0" collapsed="false">
      <c r="A19" s="3" t="s">
        <v>39</v>
      </c>
      <c r="B19" s="8" t="n">
        <v>1.262</v>
      </c>
      <c r="C19" s="8" t="n">
        <v>0.794</v>
      </c>
      <c r="D19" s="8" t="n">
        <v>0.808</v>
      </c>
      <c r="E19" s="8" t="n">
        <v>1.18</v>
      </c>
      <c r="F19" s="8" t="n">
        <v>1.068</v>
      </c>
    </row>
    <row r="20" customFormat="false" ht="15" hidden="false" customHeight="false" outlineLevel="0" collapsed="false">
      <c r="A20" s="3" t="s">
        <v>40</v>
      </c>
      <c r="B20" s="8" t="n">
        <v>1.258</v>
      </c>
      <c r="C20" s="8" t="n">
        <v>0.807</v>
      </c>
      <c r="D20" s="8" t="n">
        <v>0.807</v>
      </c>
      <c r="E20" s="8" t="n">
        <v>1.146</v>
      </c>
      <c r="F20" s="8" t="n">
        <v>1.048</v>
      </c>
    </row>
    <row r="21" customFormat="false" ht="15" hidden="false" customHeight="false" outlineLevel="0" collapsed="false">
      <c r="A21" s="3" t="s">
        <v>41</v>
      </c>
      <c r="B21" s="8" t="n">
        <v>1.271</v>
      </c>
      <c r="C21" s="8" t="n">
        <v>0.799</v>
      </c>
      <c r="D21" s="8" t="n">
        <v>0.811</v>
      </c>
      <c r="E21" s="8" t="n">
        <v>1.167</v>
      </c>
      <c r="F21" s="8" t="n">
        <v>1.054</v>
      </c>
    </row>
    <row r="22" customFormat="false" ht="15" hidden="false" customHeight="false" outlineLevel="0" collapsed="false">
      <c r="A22" s="3" t="s">
        <v>42</v>
      </c>
      <c r="B22" s="8" t="n">
        <v>1.282</v>
      </c>
      <c r="C22" s="8" t="n">
        <v>0.854</v>
      </c>
      <c r="D22" s="8" t="n">
        <v>0.831</v>
      </c>
      <c r="E22" s="8" t="n">
        <v>1.179</v>
      </c>
      <c r="F22" s="8" t="n">
        <v>1.08</v>
      </c>
    </row>
    <row r="23" customFormat="false" ht="15" hidden="false" customHeight="false" outlineLevel="0" collapsed="false">
      <c r="A23" s="3" t="s">
        <v>43</v>
      </c>
      <c r="B23" s="8" t="n">
        <v>1.306</v>
      </c>
      <c r="C23" s="8" t="n">
        <v>0.857</v>
      </c>
      <c r="D23" s="8" t="n">
        <v>0.815</v>
      </c>
      <c r="E23" s="8" t="n">
        <v>1.15</v>
      </c>
      <c r="F23" s="8" t="n">
        <v>1.038</v>
      </c>
    </row>
    <row r="24" customFormat="false" ht="15" hidden="false" customHeight="false" outlineLevel="0" collapsed="false">
      <c r="A24" s="3" t="s">
        <v>44</v>
      </c>
      <c r="B24" s="8" t="n">
        <v>1.333</v>
      </c>
      <c r="C24" s="8" t="n">
        <v>0.887</v>
      </c>
      <c r="D24" s="8" t="n">
        <v>0.843</v>
      </c>
      <c r="E24" s="8" t="n">
        <v>1.156</v>
      </c>
      <c r="F24" s="8" t="n">
        <v>1.063</v>
      </c>
    </row>
    <row r="25" customFormat="false" ht="15" hidden="false" customHeight="false" outlineLevel="0" collapsed="false">
      <c r="A25" s="3" t="s">
        <v>45</v>
      </c>
      <c r="B25" s="8" t="n">
        <v>1.326</v>
      </c>
      <c r="C25" s="8" t="n">
        <v>0.881</v>
      </c>
      <c r="D25" s="8" t="n">
        <v>0.837</v>
      </c>
      <c r="E25" s="8" t="n">
        <v>1.169</v>
      </c>
      <c r="F25" s="8" t="n">
        <v>1.079</v>
      </c>
    </row>
    <row r="26" customFormat="false" ht="15" hidden="false" customHeight="false" outlineLevel="0" collapsed="false">
      <c r="A26" s="3" t="s">
        <v>46</v>
      </c>
      <c r="B26" s="8" t="n">
        <v>1.327</v>
      </c>
      <c r="C26" s="8" t="n">
        <v>0.887</v>
      </c>
      <c r="D26" s="8" t="n">
        <v>0.834</v>
      </c>
      <c r="E26" s="8" t="n">
        <v>1.164</v>
      </c>
      <c r="F26" s="8" t="n">
        <v>1.06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5" min="2" style="0" width="20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0" t="s">
        <v>50</v>
      </c>
    </row>
    <row r="4" customFormat="false" ht="15" hidden="false" customHeight="false" outlineLevel="0" collapsed="false">
      <c r="A4" s="9" t="s">
        <v>51</v>
      </c>
      <c r="B4" s="9" t="s">
        <v>52</v>
      </c>
      <c r="C4" s="9" t="s">
        <v>53</v>
      </c>
      <c r="D4" s="9" t="s">
        <v>54</v>
      </c>
      <c r="E4" s="9" t="s">
        <v>55</v>
      </c>
    </row>
    <row r="5" customFormat="false" ht="15" hidden="false" customHeight="false" outlineLevel="0" collapsed="false">
      <c r="A5" s="0" t="s">
        <v>17</v>
      </c>
      <c r="B5" s="7" t="n">
        <f aca="false">Parts!B5</f>
        <v>0.313</v>
      </c>
      <c r="C5" s="7" t="n">
        <f aca="false">Parts!B26</f>
        <v>0.279</v>
      </c>
      <c r="D5" s="10" t="n">
        <f aca="false">Rendement!B5</f>
        <v>1.164</v>
      </c>
      <c r="E5" s="10" t="n">
        <f aca="false">Rendement!B26</f>
        <v>1.327</v>
      </c>
    </row>
    <row r="6" customFormat="false" ht="15" hidden="false" customHeight="false" outlineLevel="0" collapsed="false">
      <c r="A6" s="0" t="s">
        <v>18</v>
      </c>
      <c r="B6" s="7" t="n">
        <f aca="false">Parts!C5</f>
        <v>0.144</v>
      </c>
      <c r="C6" s="7" t="n">
        <f aca="false">Parts!C26</f>
        <v>0.203</v>
      </c>
      <c r="D6" s="10" t="n">
        <f aca="false">Rendement!C5</f>
        <v>0.772</v>
      </c>
      <c r="E6" s="10" t="n">
        <f aca="false">Rendement!C26</f>
        <v>0.887</v>
      </c>
    </row>
    <row r="7" customFormat="false" ht="15" hidden="false" customHeight="false" outlineLevel="0" collapsed="false">
      <c r="A7" s="0" t="s">
        <v>19</v>
      </c>
      <c r="B7" s="7" t="n">
        <f aca="false">Parts!D5</f>
        <v>0.357</v>
      </c>
      <c r="C7" s="7" t="n">
        <f aca="false">Parts!D26</f>
        <v>0.098</v>
      </c>
      <c r="D7" s="10" t="n">
        <f aca="false">Rendement!D5</f>
        <v>0.764</v>
      </c>
      <c r="E7" s="10" t="n">
        <f aca="false">Rendement!D26</f>
        <v>0.834</v>
      </c>
    </row>
    <row r="8" customFormat="false" ht="15" hidden="false" customHeight="false" outlineLevel="0" collapsed="false">
      <c r="A8" s="0" t="s">
        <v>20</v>
      </c>
      <c r="B8" s="7" t="n">
        <f aca="false">Parts!E5</f>
        <v>0.05</v>
      </c>
      <c r="C8" s="7" t="n">
        <f aca="false">Parts!E26</f>
        <v>0.108</v>
      </c>
      <c r="D8" s="10" t="n">
        <f aca="false">Rendement!E5</f>
        <v>1.131</v>
      </c>
      <c r="E8" s="10" t="n">
        <f aca="false">Rendement!E26</f>
        <v>1.164</v>
      </c>
    </row>
    <row r="9" customFormat="false" ht="15" hidden="false" customHeight="false" outlineLevel="0" collapsed="false">
      <c r="A9" s="0" t="s">
        <v>21</v>
      </c>
      <c r="B9" s="7" t="n">
        <f aca="false">Parts!F5</f>
        <v>0.135</v>
      </c>
      <c r="C9" s="7" t="n">
        <f aca="false">Parts!F26</f>
        <v>0.312</v>
      </c>
      <c r="D9" s="10" t="n">
        <f aca="false">Rendement!F5</f>
        <v>1.021</v>
      </c>
      <c r="E9" s="10" t="n">
        <f aca="false">Rendement!F26</f>
        <v>1.06</v>
      </c>
    </row>
    <row r="12" customFormat="false" ht="15" hidden="false" customHeight="false" outlineLevel="0" collapsed="false">
      <c r="A12" s="3" t="s">
        <v>56</v>
      </c>
      <c r="B12" s="10" t="n">
        <f aca="false">SUMPRODUCT(B5:B9,D5:D9)</f>
        <v>0.942633</v>
      </c>
    </row>
    <row r="13" customFormat="false" ht="15" hidden="false" customHeight="false" outlineLevel="0" collapsed="false">
      <c r="A13" s="3" t="s">
        <v>57</v>
      </c>
      <c r="B13" s="10" t="n">
        <f aca="false">SUMPRODUCT(C5:C9,E5:E9)</f>
        <v>1.088458</v>
      </c>
    </row>
    <row r="14" customFormat="false" ht="15" hidden="false" customHeight="false" outlineLevel="0" collapsed="false">
      <c r="A14" s="2" t="s">
        <v>58</v>
      </c>
      <c r="B14" s="10" t="n">
        <f aca="false">B13-B12</f>
        <v>0.145825</v>
      </c>
    </row>
    <row r="15" customFormat="false" ht="15" hidden="false" customHeight="false" outlineLevel="0" collapsed="false">
      <c r="A15" s="2" t="s">
        <v>59</v>
      </c>
      <c r="B15" s="10" t="n">
        <f aca="false">SUMPRODUCT(C5:C9-B5:B9,D5:D9)</f>
        <v>0.054411</v>
      </c>
    </row>
    <row r="16" customFormat="false" ht="15" hidden="false" customHeight="false" outlineLevel="0" collapsed="false">
      <c r="A16" s="3" t="s">
        <v>60</v>
      </c>
      <c r="B16" s="10" t="n">
        <f aca="false">SUMPRODUCT(B5:B9,E5:E9-D5:D9)</f>
        <v>0.099484</v>
      </c>
    </row>
    <row r="17" customFormat="false" ht="15" hidden="false" customHeight="false" outlineLevel="0" collapsed="false">
      <c r="A17" s="3" t="s">
        <v>61</v>
      </c>
      <c r="B17" s="10" t="n">
        <f aca="false">SUMPRODUCT(C5:C9-B5:B9,E5:E9-D5:D9)</f>
        <v>-0.00806999999999996</v>
      </c>
    </row>
    <row r="18" customFormat="false" ht="15" hidden="false" customHeight="false" outlineLevel="0" collapsed="false">
      <c r="A18" s="2" t="s">
        <v>62</v>
      </c>
      <c r="B18" s="7" t="n">
        <f aca="false">B15/B14</f>
        <v>0.373125321446939</v>
      </c>
    </row>
    <row r="19" customFormat="false" ht="15" hidden="false" customHeight="false" outlineLevel="0" collapsed="false">
      <c r="A19" s="3" t="s">
        <v>63</v>
      </c>
      <c r="B19" s="10" t="n">
        <f aca="false">B15+B16+B17-B14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4"/>
  </cols>
  <sheetData>
    <row r="1" customFormat="false" ht="17.35" hidden="false" customHeight="false" outlineLevel="0" collapsed="false">
      <c r="A1" s="1" t="s">
        <v>64</v>
      </c>
    </row>
    <row r="2" customFormat="false" ht="15" hidden="false" customHeight="false" outlineLevel="0" collapsed="false">
      <c r="A2" s="4" t="s">
        <v>65</v>
      </c>
    </row>
    <row r="4" customFormat="false" ht="31.5" hidden="false" customHeight="true" outlineLevel="0" collapsed="false">
      <c r="A4" s="5" t="s">
        <v>16</v>
      </c>
      <c r="B4" s="5" t="s">
        <v>66</v>
      </c>
      <c r="C4" s="5" t="s">
        <v>67</v>
      </c>
    </row>
    <row r="5" customFormat="false" ht="15" hidden="false" customHeight="false" outlineLevel="0" collapsed="false">
      <c r="A5" s="3" t="s">
        <v>25</v>
      </c>
      <c r="B5" s="8" t="n">
        <v>-0.21</v>
      </c>
      <c r="C5" s="3" t="s">
        <v>68</v>
      </c>
    </row>
    <row r="6" customFormat="false" ht="15" hidden="false" customHeight="false" outlineLevel="0" collapsed="false">
      <c r="A6" s="3" t="s">
        <v>26</v>
      </c>
      <c r="B6" s="8" t="n">
        <v>-0.47</v>
      </c>
      <c r="C6" s="3" t="s">
        <v>68</v>
      </c>
    </row>
    <row r="7" customFormat="false" ht="15" hidden="false" customHeight="false" outlineLevel="0" collapsed="false">
      <c r="A7" s="3" t="s">
        <v>27</v>
      </c>
      <c r="B7" s="8" t="n">
        <v>-0.38</v>
      </c>
      <c r="C7" s="3" t="s">
        <v>69</v>
      </c>
    </row>
    <row r="8" customFormat="false" ht="15" hidden="false" customHeight="false" outlineLevel="0" collapsed="false">
      <c r="A8" s="3" t="s">
        <v>28</v>
      </c>
      <c r="B8" s="8" t="n">
        <v>-0.48</v>
      </c>
      <c r="C8" s="3" t="s">
        <v>70</v>
      </c>
    </row>
    <row r="9" customFormat="false" ht="15" hidden="false" customHeight="false" outlineLevel="0" collapsed="false">
      <c r="A9" s="3" t="s">
        <v>29</v>
      </c>
      <c r="B9" s="8" t="n">
        <v>-0.49</v>
      </c>
      <c r="C9" s="3" t="s">
        <v>71</v>
      </c>
    </row>
    <row r="10" customFormat="false" ht="15" hidden="false" customHeight="false" outlineLevel="0" collapsed="false">
      <c r="A10" s="3" t="s">
        <v>30</v>
      </c>
      <c r="B10" s="8" t="n">
        <v>-0.44</v>
      </c>
      <c r="C10" s="3" t="s">
        <v>72</v>
      </c>
    </row>
    <row r="11" customFormat="false" ht="15" hidden="false" customHeight="false" outlineLevel="0" collapsed="false">
      <c r="A11" s="3" t="s">
        <v>31</v>
      </c>
      <c r="B11" s="8" t="n">
        <v>-0.51</v>
      </c>
      <c r="C11" s="3" t="s">
        <v>71</v>
      </c>
    </row>
    <row r="12" customFormat="false" ht="15" hidden="false" customHeight="false" outlineLevel="0" collapsed="false">
      <c r="A12" s="3" t="s">
        <v>32</v>
      </c>
      <c r="B12" s="8" t="n">
        <v>-0.41</v>
      </c>
      <c r="C12" s="3" t="s">
        <v>71</v>
      </c>
    </row>
    <row r="13" customFormat="false" ht="15" hidden="false" customHeight="false" outlineLevel="0" collapsed="false">
      <c r="A13" s="3" t="s">
        <v>33</v>
      </c>
      <c r="B13" s="8" t="n">
        <v>-0.42</v>
      </c>
      <c r="C13" s="3" t="s">
        <v>73</v>
      </c>
    </row>
    <row r="14" customFormat="false" ht="15" hidden="false" customHeight="false" outlineLevel="0" collapsed="false">
      <c r="A14" s="3" t="s">
        <v>34</v>
      </c>
      <c r="B14" s="8" t="n">
        <v>-0.5</v>
      </c>
      <c r="C14" s="3" t="s">
        <v>74</v>
      </c>
    </row>
    <row r="15" customFormat="false" ht="15" hidden="false" customHeight="false" outlineLevel="0" collapsed="false">
      <c r="A15" s="3" t="s">
        <v>35</v>
      </c>
      <c r="B15" s="8" t="n">
        <v>-0.35</v>
      </c>
      <c r="C15" s="3" t="s">
        <v>74</v>
      </c>
    </row>
    <row r="16" customFormat="false" ht="15" hidden="false" customHeight="false" outlineLevel="0" collapsed="false">
      <c r="A16" s="3" t="s">
        <v>36</v>
      </c>
      <c r="B16" s="8" t="n">
        <v>-0.35</v>
      </c>
      <c r="C16" s="3" t="s">
        <v>74</v>
      </c>
    </row>
    <row r="17" customFormat="false" ht="15" hidden="false" customHeight="false" outlineLevel="0" collapsed="false">
      <c r="A17" s="3" t="s">
        <v>37</v>
      </c>
      <c r="B17" s="8" t="n">
        <v>-0.24</v>
      </c>
      <c r="C17" s="3" t="s">
        <v>74</v>
      </c>
    </row>
    <row r="18" customFormat="false" ht="15" hidden="false" customHeight="false" outlineLevel="0" collapsed="false">
      <c r="A18" s="3" t="s">
        <v>38</v>
      </c>
      <c r="B18" s="8" t="n">
        <v>-0.38</v>
      </c>
      <c r="C18" s="3" t="s">
        <v>74</v>
      </c>
    </row>
    <row r="19" customFormat="false" ht="15" hidden="false" customHeight="false" outlineLevel="0" collapsed="false">
      <c r="A19" s="3" t="s">
        <v>39</v>
      </c>
      <c r="B19" s="8" t="n">
        <v>-0.25</v>
      </c>
      <c r="C19" s="3" t="s">
        <v>74</v>
      </c>
    </row>
    <row r="20" customFormat="false" ht="15" hidden="false" customHeight="false" outlineLevel="0" collapsed="false">
      <c r="A20" s="3" t="s">
        <v>40</v>
      </c>
      <c r="B20" s="8" t="n">
        <v>-0.03</v>
      </c>
      <c r="C20" s="3" t="s">
        <v>74</v>
      </c>
    </row>
    <row r="21" customFormat="false" ht="15" hidden="false" customHeight="false" outlineLevel="0" collapsed="false">
      <c r="A21" s="3" t="s">
        <v>41</v>
      </c>
      <c r="B21" s="8" t="n">
        <v>-0.06</v>
      </c>
      <c r="C21" s="3" t="s">
        <v>74</v>
      </c>
    </row>
    <row r="22" customFormat="false" ht="15" hidden="false" customHeight="false" outlineLevel="0" collapsed="false">
      <c r="A22" s="3" t="s">
        <v>42</v>
      </c>
      <c r="B22" s="8" t="n">
        <v>0.03</v>
      </c>
      <c r="C22" s="3" t="s">
        <v>75</v>
      </c>
    </row>
    <row r="23" customFormat="false" ht="15" hidden="false" customHeight="false" outlineLevel="0" collapsed="false">
      <c r="A23" s="3" t="s">
        <v>43</v>
      </c>
      <c r="B23" s="8" t="n">
        <v>0.11</v>
      </c>
      <c r="C23" s="3" t="s">
        <v>74</v>
      </c>
    </row>
    <row r="24" customFormat="false" ht="15" hidden="false" customHeight="false" outlineLevel="0" collapsed="false">
      <c r="A24" s="3" t="s">
        <v>44</v>
      </c>
      <c r="B24" s="8" t="n">
        <v>-0.05</v>
      </c>
      <c r="C24" s="3" t="s">
        <v>68</v>
      </c>
    </row>
    <row r="25" customFormat="false" ht="15" hidden="false" customHeight="false" outlineLevel="0" collapsed="false">
      <c r="A25" s="3" t="s">
        <v>45</v>
      </c>
      <c r="B25" s="8" t="n">
        <v>0.19</v>
      </c>
      <c r="C25" s="3" t="s">
        <v>68</v>
      </c>
    </row>
    <row r="26" customFormat="false" ht="15" hidden="false" customHeight="false" outlineLevel="0" collapsed="false">
      <c r="A26" s="3" t="s">
        <v>46</v>
      </c>
      <c r="B26" s="8" t="n">
        <v>0.21</v>
      </c>
      <c r="C26" s="3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6" min="2" style="0" width="5.51"/>
  </cols>
  <sheetData>
    <row r="1" customFormat="false" ht="17.35" hidden="false" customHeight="false" outlineLevel="0" collapsed="false">
      <c r="A1" s="1" t="s">
        <v>77</v>
      </c>
    </row>
    <row r="2" customFormat="false" ht="15" hidden="false" customHeight="false" outlineLevel="0" collapsed="false">
      <c r="A2" s="0" t="s">
        <v>78</v>
      </c>
    </row>
    <row r="4" customFormat="false" ht="15" hidden="false" customHeight="false" outlineLevel="0" collapsed="false">
      <c r="B4" s="2" t="n">
        <v>-24</v>
      </c>
      <c r="C4" s="2" t="n">
        <v>-22</v>
      </c>
      <c r="D4" s="2" t="n">
        <v>-20</v>
      </c>
      <c r="E4" s="2" t="n">
        <v>-18</v>
      </c>
      <c r="F4" s="2" t="n">
        <v>-16</v>
      </c>
      <c r="G4" s="2" t="n">
        <v>-14</v>
      </c>
      <c r="H4" s="2" t="n">
        <v>-12</v>
      </c>
      <c r="I4" s="2" t="n">
        <v>-10</v>
      </c>
      <c r="J4" s="2" t="n">
        <v>-8</v>
      </c>
      <c r="K4" s="2" t="n">
        <v>-6</v>
      </c>
      <c r="L4" s="2" t="n">
        <v>-4</v>
      </c>
      <c r="M4" s="2" t="n">
        <v>-2</v>
      </c>
      <c r="N4" s="2" t="n">
        <v>0</v>
      </c>
      <c r="O4" s="2" t="n">
        <v>2</v>
      </c>
      <c r="P4" s="2" t="n">
        <v>4</v>
      </c>
      <c r="Q4" s="2" t="n">
        <v>6</v>
      </c>
      <c r="R4" s="2" t="n">
        <v>8</v>
      </c>
      <c r="S4" s="2" t="n">
        <v>10</v>
      </c>
      <c r="T4" s="2" t="n">
        <v>12</v>
      </c>
      <c r="U4" s="2" t="n">
        <v>14</v>
      </c>
      <c r="V4" s="2" t="n">
        <v>16</v>
      </c>
      <c r="W4" s="2" t="n">
        <v>18</v>
      </c>
      <c r="X4" s="2" t="n">
        <v>20</v>
      </c>
      <c r="Y4" s="2" t="n">
        <v>22</v>
      </c>
      <c r="Z4" s="2" t="n">
        <v>24</v>
      </c>
    </row>
    <row r="5" customFormat="false" ht="15" hidden="false" customHeight="false" outlineLevel="0" collapsed="false">
      <c r="A5" s="2" t="n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 t="n">
        <v>0.2</v>
      </c>
      <c r="W5" s="11" t="n">
        <v>0.2</v>
      </c>
      <c r="X5" s="11" t="n">
        <v>0.2</v>
      </c>
      <c r="Y5" s="11"/>
      <c r="Z5" s="11" t="n">
        <v>0.2</v>
      </c>
    </row>
    <row r="6" customFormat="false" ht="15" hidden="false" customHeight="false" outlineLevel="0" collapsed="false">
      <c r="A6" s="2" t="n">
        <v>3</v>
      </c>
      <c r="B6" s="11" t="n">
        <v>2.1</v>
      </c>
      <c r="C6" s="11" t="n">
        <v>1.9</v>
      </c>
      <c r="D6" s="11" t="n">
        <v>1.3</v>
      </c>
      <c r="E6" s="11" t="n">
        <v>2.4</v>
      </c>
      <c r="F6" s="11" t="n">
        <v>2</v>
      </c>
      <c r="G6" s="11" t="n">
        <v>1.5</v>
      </c>
      <c r="H6" s="11" t="n">
        <v>0.8</v>
      </c>
      <c r="I6" s="11" t="n">
        <v>0.7</v>
      </c>
      <c r="J6" s="11" t="n">
        <v>0.5</v>
      </c>
      <c r="K6" s="11" t="n">
        <v>0.3</v>
      </c>
      <c r="L6" s="11"/>
      <c r="M6" s="11"/>
      <c r="N6" s="11" t="n">
        <v>0.5</v>
      </c>
      <c r="O6" s="11"/>
      <c r="P6" s="11"/>
      <c r="Q6" s="11" t="n">
        <v>0.2</v>
      </c>
      <c r="R6" s="11" t="n">
        <v>0.5</v>
      </c>
      <c r="S6" s="11" t="n">
        <v>0.8</v>
      </c>
      <c r="T6" s="11" t="n">
        <v>1.1</v>
      </c>
      <c r="U6" s="11" t="n">
        <v>1.8</v>
      </c>
      <c r="V6" s="11" t="n">
        <v>2.3</v>
      </c>
      <c r="W6" s="11" t="n">
        <v>2.3</v>
      </c>
      <c r="X6" s="11" t="n">
        <v>1.9</v>
      </c>
      <c r="Y6" s="11" t="n">
        <v>1.2</v>
      </c>
      <c r="Z6" s="11" t="n">
        <v>3.5</v>
      </c>
    </row>
    <row r="7" customFormat="false" ht="15" hidden="false" customHeight="false" outlineLevel="0" collapsed="false">
      <c r="A7" s="2" t="n">
        <v>5</v>
      </c>
      <c r="B7" s="11" t="n">
        <v>4.3</v>
      </c>
      <c r="C7" s="11" t="n">
        <v>4.2</v>
      </c>
      <c r="D7" s="11" t="n">
        <v>2.3</v>
      </c>
      <c r="E7" s="11" t="n">
        <v>4.3</v>
      </c>
      <c r="F7" s="11" t="n">
        <v>4.8</v>
      </c>
      <c r="G7" s="11" t="n">
        <v>3.7</v>
      </c>
      <c r="H7" s="11" t="n">
        <v>2.8</v>
      </c>
      <c r="I7" s="11" t="n">
        <v>2.5</v>
      </c>
      <c r="J7" s="11" t="n">
        <v>2.7</v>
      </c>
      <c r="K7" s="11" t="n">
        <v>2.5</v>
      </c>
      <c r="L7" s="11" t="n">
        <v>2.2</v>
      </c>
      <c r="M7" s="11" t="n">
        <v>6.6</v>
      </c>
      <c r="N7" s="11" t="n">
        <v>262.2</v>
      </c>
      <c r="O7" s="11" t="n">
        <v>6.6</v>
      </c>
      <c r="P7" s="11" t="n">
        <v>2</v>
      </c>
      <c r="Q7" s="11" t="n">
        <v>2</v>
      </c>
      <c r="R7" s="11" t="n">
        <v>2.2</v>
      </c>
      <c r="S7" s="11" t="n">
        <v>2.9</v>
      </c>
      <c r="T7" s="11" t="n">
        <v>3.2</v>
      </c>
      <c r="U7" s="11" t="n">
        <v>4.9</v>
      </c>
      <c r="V7" s="11" t="n">
        <v>6.3</v>
      </c>
      <c r="W7" s="11" t="n">
        <v>5.6</v>
      </c>
      <c r="X7" s="11" t="n">
        <v>3.2</v>
      </c>
      <c r="Y7" s="11" t="n">
        <v>3.2</v>
      </c>
      <c r="Z7" s="11" t="n">
        <v>7.9</v>
      </c>
    </row>
    <row r="8" customFormat="false" ht="15" hidden="false" customHeight="false" outlineLevel="0" collapsed="false">
      <c r="A8" s="2" t="n">
        <v>7</v>
      </c>
      <c r="B8" s="11" t="n">
        <v>2.9</v>
      </c>
      <c r="C8" s="11" t="n">
        <v>2.5</v>
      </c>
      <c r="D8" s="11" t="n">
        <v>1.6</v>
      </c>
      <c r="E8" s="11" t="n">
        <v>3</v>
      </c>
      <c r="F8" s="11" t="n">
        <v>4.2</v>
      </c>
      <c r="G8" s="11" t="n">
        <v>3.5</v>
      </c>
      <c r="H8" s="11" t="n">
        <v>3</v>
      </c>
      <c r="I8" s="11" t="n">
        <v>3.2</v>
      </c>
      <c r="J8" s="11" t="n">
        <v>4.2</v>
      </c>
      <c r="K8" s="11" t="n">
        <v>4.7</v>
      </c>
      <c r="L8" s="11" t="n">
        <v>4.8</v>
      </c>
      <c r="M8" s="11" t="n">
        <v>8.3</v>
      </c>
      <c r="N8" s="11" t="n">
        <v>10.5</v>
      </c>
      <c r="O8" s="11" t="n">
        <v>7.4</v>
      </c>
      <c r="P8" s="11" t="n">
        <v>4.5</v>
      </c>
      <c r="Q8" s="11" t="n">
        <v>4</v>
      </c>
      <c r="R8" s="11" t="n">
        <v>3.5</v>
      </c>
      <c r="S8" s="11" t="n">
        <v>3.2</v>
      </c>
      <c r="T8" s="11" t="n">
        <v>3.1</v>
      </c>
      <c r="U8" s="11" t="n">
        <v>4.1</v>
      </c>
      <c r="V8" s="11" t="n">
        <v>5.1</v>
      </c>
      <c r="W8" s="11" t="n">
        <v>3.6</v>
      </c>
      <c r="X8" s="11" t="n">
        <v>2.2</v>
      </c>
      <c r="Y8" s="11" t="n">
        <v>1.9</v>
      </c>
      <c r="Z8" s="11" t="n">
        <v>3.7</v>
      </c>
    </row>
    <row r="9" customFormat="false" ht="15" hidden="false" customHeight="false" outlineLevel="0" collapsed="false">
      <c r="A9" s="2" t="n">
        <v>9</v>
      </c>
      <c r="B9" s="11" t="n">
        <v>1.5</v>
      </c>
      <c r="C9" s="11" t="n">
        <v>1.4</v>
      </c>
      <c r="D9" s="11" t="n">
        <v>0.9</v>
      </c>
      <c r="E9" s="11" t="n">
        <v>2</v>
      </c>
      <c r="F9" s="11" t="n">
        <v>2.6</v>
      </c>
      <c r="G9" s="11" t="n">
        <v>2.5</v>
      </c>
      <c r="H9" s="11" t="n">
        <v>2</v>
      </c>
      <c r="I9" s="11" t="n">
        <v>2.2</v>
      </c>
      <c r="J9" s="11" t="n">
        <v>2.8</v>
      </c>
      <c r="K9" s="11" t="n">
        <v>3.6</v>
      </c>
      <c r="L9" s="11" t="n">
        <v>4.2</v>
      </c>
      <c r="M9" s="11" t="n">
        <v>5.2</v>
      </c>
      <c r="N9" s="11" t="n">
        <v>8.2</v>
      </c>
      <c r="O9" s="11" t="n">
        <v>5.2</v>
      </c>
      <c r="P9" s="11" t="n">
        <v>4.6</v>
      </c>
      <c r="Q9" s="11" t="n">
        <v>3.7</v>
      </c>
      <c r="R9" s="11" t="n">
        <v>2.7</v>
      </c>
      <c r="S9" s="11" t="n">
        <v>2.2</v>
      </c>
      <c r="T9" s="11" t="n">
        <v>2.3</v>
      </c>
      <c r="U9" s="11" t="n">
        <v>2.6</v>
      </c>
      <c r="V9" s="11" t="n">
        <v>2.8</v>
      </c>
      <c r="W9" s="11" t="n">
        <v>1.8</v>
      </c>
      <c r="X9" s="11" t="n">
        <v>1.1</v>
      </c>
      <c r="Y9" s="11" t="n">
        <v>0.9</v>
      </c>
      <c r="Z9" s="11" t="n">
        <v>2.2</v>
      </c>
    </row>
    <row r="10" customFormat="false" ht="15" hidden="false" customHeight="false" outlineLevel="0" collapsed="false">
      <c r="A10" s="2" t="n">
        <v>11</v>
      </c>
      <c r="B10" s="11" t="n">
        <v>1.1</v>
      </c>
      <c r="C10" s="11" t="n">
        <v>0.9</v>
      </c>
      <c r="D10" s="11" t="n">
        <v>0.7</v>
      </c>
      <c r="E10" s="11" t="n">
        <v>1.6</v>
      </c>
      <c r="F10" s="11" t="n">
        <v>2.4</v>
      </c>
      <c r="G10" s="11" t="n">
        <v>2.6</v>
      </c>
      <c r="H10" s="11" t="n">
        <v>1.8</v>
      </c>
      <c r="I10" s="11" t="n">
        <v>1.6</v>
      </c>
      <c r="J10" s="11" t="n">
        <v>1.9</v>
      </c>
      <c r="K10" s="11" t="n">
        <v>2.4</v>
      </c>
      <c r="L10" s="11" t="n">
        <v>3.2</v>
      </c>
      <c r="M10" s="11" t="n">
        <v>4.6</v>
      </c>
      <c r="N10" s="11" t="n">
        <v>10.3</v>
      </c>
      <c r="O10" s="11" t="n">
        <v>5.4</v>
      </c>
      <c r="P10" s="11" t="n">
        <v>3.5</v>
      </c>
      <c r="Q10" s="11" t="n">
        <v>2.8</v>
      </c>
      <c r="R10" s="11" t="n">
        <v>1.8</v>
      </c>
      <c r="S10" s="11" t="n">
        <v>1.9</v>
      </c>
      <c r="T10" s="11" t="n">
        <v>2.1</v>
      </c>
      <c r="U10" s="11" t="n">
        <v>2.7</v>
      </c>
      <c r="V10" s="11" t="n">
        <v>2.6</v>
      </c>
      <c r="W10" s="11" t="n">
        <v>1.7</v>
      </c>
      <c r="X10" s="11" t="n">
        <v>0.9</v>
      </c>
      <c r="Y10" s="11" t="n">
        <v>0.8</v>
      </c>
      <c r="Z10" s="11" t="n">
        <v>1.3</v>
      </c>
    </row>
    <row r="11" customFormat="false" ht="15" hidden="false" customHeight="false" outlineLevel="0" collapsed="false">
      <c r="A11" s="2" t="n">
        <v>13</v>
      </c>
      <c r="B11" s="11" t="n">
        <v>0.6</v>
      </c>
      <c r="C11" s="11" t="n">
        <v>0.8</v>
      </c>
      <c r="D11" s="11" t="n">
        <v>0.8</v>
      </c>
      <c r="E11" s="11" t="n">
        <v>1.5</v>
      </c>
      <c r="F11" s="11" t="n">
        <v>2.6</v>
      </c>
      <c r="G11" s="11" t="n">
        <v>2.7</v>
      </c>
      <c r="H11" s="11" t="n">
        <v>1.9</v>
      </c>
      <c r="I11" s="11" t="n">
        <v>1.5</v>
      </c>
      <c r="J11" s="11" t="n">
        <v>1.3</v>
      </c>
      <c r="K11" s="11" t="n">
        <v>1.9</v>
      </c>
      <c r="L11" s="11" t="n">
        <v>1.9</v>
      </c>
      <c r="M11" s="11" t="n">
        <v>2.7</v>
      </c>
      <c r="N11" s="11" t="n">
        <v>6.2</v>
      </c>
      <c r="O11" s="11" t="n">
        <v>2.6</v>
      </c>
      <c r="P11" s="11" t="n">
        <v>1.7</v>
      </c>
      <c r="Q11" s="11" t="n">
        <v>1.9</v>
      </c>
      <c r="R11" s="11" t="n">
        <v>1.6</v>
      </c>
      <c r="S11" s="11" t="n">
        <v>1.5</v>
      </c>
      <c r="T11" s="11" t="n">
        <v>1.8</v>
      </c>
      <c r="U11" s="11" t="n">
        <v>2.9</v>
      </c>
      <c r="V11" s="11" t="n">
        <v>3</v>
      </c>
      <c r="W11" s="11" t="n">
        <v>1.6</v>
      </c>
      <c r="X11" s="11" t="n">
        <v>0.9</v>
      </c>
      <c r="Y11" s="11" t="n">
        <v>0.6</v>
      </c>
      <c r="Z11" s="11" t="n">
        <v>0.9</v>
      </c>
    </row>
    <row r="12" customFormat="false" ht="15" hidden="false" customHeight="false" outlineLevel="0" collapsed="false">
      <c r="A12" s="2" t="n">
        <v>15</v>
      </c>
      <c r="B12" s="11" t="n">
        <v>0.3</v>
      </c>
      <c r="C12" s="11" t="n">
        <v>1.4</v>
      </c>
      <c r="D12" s="11" t="n">
        <v>0.5</v>
      </c>
      <c r="E12" s="11" t="n">
        <v>1.2</v>
      </c>
      <c r="F12" s="11" t="n">
        <v>2</v>
      </c>
      <c r="G12" s="11" t="n">
        <v>2.8</v>
      </c>
      <c r="H12" s="11" t="n">
        <v>2</v>
      </c>
      <c r="I12" s="11" t="n">
        <v>1.4</v>
      </c>
      <c r="J12" s="11" t="n">
        <v>1.1</v>
      </c>
      <c r="K12" s="11" t="n">
        <v>1.2</v>
      </c>
      <c r="L12" s="11" t="n">
        <v>1.1</v>
      </c>
      <c r="M12" s="11" t="n">
        <v>1.4</v>
      </c>
      <c r="N12" s="11" t="n">
        <v>3.1</v>
      </c>
      <c r="O12" s="11" t="n">
        <v>1.4</v>
      </c>
      <c r="P12" s="11" t="n">
        <v>1.1</v>
      </c>
      <c r="Q12" s="11" t="n">
        <v>1.4</v>
      </c>
      <c r="R12" s="11" t="n">
        <v>1.1</v>
      </c>
      <c r="S12" s="11" t="n">
        <v>1.4</v>
      </c>
      <c r="T12" s="11" t="n">
        <v>1.9</v>
      </c>
      <c r="U12" s="11" t="n">
        <v>3.2</v>
      </c>
      <c r="V12" s="11" t="n">
        <v>2.6</v>
      </c>
      <c r="W12" s="11" t="n">
        <v>1.3</v>
      </c>
      <c r="X12" s="11" t="n">
        <v>0.7</v>
      </c>
      <c r="Y12" s="11" t="n">
        <v>1.2</v>
      </c>
      <c r="Z12" s="11" t="n">
        <v>0.4</v>
      </c>
    </row>
    <row r="13" customFormat="false" ht="15" hidden="false" customHeight="false" outlineLevel="0" collapsed="false">
      <c r="A13" s="2" t="n">
        <v>17</v>
      </c>
      <c r="B13" s="11" t="n">
        <v>0.2</v>
      </c>
      <c r="C13" s="11" t="n">
        <v>2.6</v>
      </c>
      <c r="D13" s="11" t="n">
        <v>0.8</v>
      </c>
      <c r="E13" s="11" t="n">
        <v>1.1</v>
      </c>
      <c r="F13" s="11" t="n">
        <v>2.1</v>
      </c>
      <c r="G13" s="11" t="n">
        <v>3.5</v>
      </c>
      <c r="H13" s="11" t="n">
        <v>2.8</v>
      </c>
      <c r="I13" s="11" t="n">
        <v>1.9</v>
      </c>
      <c r="J13" s="11" t="n">
        <v>1.6</v>
      </c>
      <c r="K13" s="11" t="n">
        <v>1.3</v>
      </c>
      <c r="L13" s="11" t="n">
        <v>1</v>
      </c>
      <c r="M13" s="11" t="n">
        <v>0.9</v>
      </c>
      <c r="N13" s="11" t="n">
        <v>2.6</v>
      </c>
      <c r="O13" s="11" t="n">
        <v>1</v>
      </c>
      <c r="P13" s="11" t="n">
        <v>1</v>
      </c>
      <c r="Q13" s="11" t="n">
        <v>1.3</v>
      </c>
      <c r="R13" s="11" t="n">
        <v>1.5</v>
      </c>
      <c r="S13" s="11" t="n">
        <v>1.8</v>
      </c>
      <c r="T13" s="11" t="n">
        <v>2.7</v>
      </c>
      <c r="U13" s="11" t="n">
        <v>3.4</v>
      </c>
      <c r="V13" s="11" t="n">
        <v>2.2</v>
      </c>
      <c r="W13" s="11" t="n">
        <v>1.1</v>
      </c>
      <c r="X13" s="11" t="n">
        <v>0.6</v>
      </c>
      <c r="Y13" s="11" t="n">
        <v>2.8</v>
      </c>
      <c r="Z13" s="11" t="n">
        <v>0.4</v>
      </c>
    </row>
    <row r="14" customFormat="false" ht="15" hidden="false" customHeight="false" outlineLevel="0" collapsed="false">
      <c r="A14" s="2" t="n">
        <v>19</v>
      </c>
      <c r="B14" s="11"/>
      <c r="C14" s="11" t="n">
        <v>1.4</v>
      </c>
      <c r="D14" s="11" t="n">
        <v>2.7</v>
      </c>
      <c r="E14" s="11" t="n">
        <v>0.6</v>
      </c>
      <c r="F14" s="11" t="n">
        <v>1.9</v>
      </c>
      <c r="G14" s="11" t="n">
        <v>3.1</v>
      </c>
      <c r="H14" s="11" t="n">
        <v>4</v>
      </c>
      <c r="I14" s="11" t="n">
        <v>3.1</v>
      </c>
      <c r="J14" s="11" t="n">
        <v>2.8</v>
      </c>
      <c r="K14" s="11" t="n">
        <v>1.3</v>
      </c>
      <c r="L14" s="11" t="n">
        <v>0.9</v>
      </c>
      <c r="M14" s="11" t="n">
        <v>1.1</v>
      </c>
      <c r="N14" s="11" t="n">
        <v>2.6</v>
      </c>
      <c r="O14" s="11" t="n">
        <v>1.3</v>
      </c>
      <c r="P14" s="11" t="n">
        <v>0.8</v>
      </c>
      <c r="Q14" s="11" t="n">
        <v>1.3</v>
      </c>
      <c r="R14" s="11" t="n">
        <v>2.6</v>
      </c>
      <c r="S14" s="11" t="n">
        <v>3.1</v>
      </c>
      <c r="T14" s="11" t="n">
        <v>3.5</v>
      </c>
      <c r="U14" s="11" t="n">
        <v>2.8</v>
      </c>
      <c r="V14" s="11" t="n">
        <v>1.6</v>
      </c>
      <c r="W14" s="11" t="n">
        <v>0.7</v>
      </c>
      <c r="X14" s="11" t="n">
        <v>2.4</v>
      </c>
      <c r="Y14" s="11" t="n">
        <v>2.5</v>
      </c>
      <c r="Z14" s="11"/>
    </row>
    <row r="15" customFormat="false" ht="15" hidden="false" customHeight="false" outlineLevel="0" collapsed="false">
      <c r="A15" s="2" t="n">
        <v>21</v>
      </c>
      <c r="B15" s="11"/>
      <c r="C15" s="11" t="n">
        <v>0.3</v>
      </c>
      <c r="D15" s="11" t="n">
        <v>2.9</v>
      </c>
      <c r="E15" s="11" t="n">
        <v>2.3</v>
      </c>
      <c r="F15" s="11" t="n">
        <v>1</v>
      </c>
      <c r="G15" s="11" t="n">
        <v>2</v>
      </c>
      <c r="H15" s="11" t="n">
        <v>3.1</v>
      </c>
      <c r="I15" s="11" t="n">
        <v>3.4</v>
      </c>
      <c r="J15" s="11" t="n">
        <v>2.7</v>
      </c>
      <c r="K15" s="11" t="n">
        <v>1.7</v>
      </c>
      <c r="L15" s="11" t="n">
        <v>1.3</v>
      </c>
      <c r="M15" s="11" t="n">
        <v>1.5</v>
      </c>
      <c r="N15" s="11" t="n">
        <v>3.6</v>
      </c>
      <c r="O15" s="11" t="n">
        <v>1.6</v>
      </c>
      <c r="P15" s="11" t="n">
        <v>1.2</v>
      </c>
      <c r="Q15" s="11" t="n">
        <v>1.5</v>
      </c>
      <c r="R15" s="11" t="n">
        <v>2.5</v>
      </c>
      <c r="S15" s="11" t="n">
        <v>3.2</v>
      </c>
      <c r="T15" s="11" t="n">
        <v>2.9</v>
      </c>
      <c r="U15" s="11" t="n">
        <v>2</v>
      </c>
      <c r="V15" s="11" t="n">
        <v>1</v>
      </c>
      <c r="W15" s="11" t="n">
        <v>1.8</v>
      </c>
      <c r="X15" s="11" t="n">
        <v>4</v>
      </c>
      <c r="Y15" s="11" t="n">
        <v>0.7</v>
      </c>
      <c r="Z15" s="11"/>
    </row>
    <row r="16" customFormat="false" ht="15" hidden="false" customHeight="false" outlineLevel="0" collapsed="false">
      <c r="A16" s="2" t="n">
        <v>23</v>
      </c>
      <c r="B16" s="11"/>
      <c r="C16" s="11"/>
      <c r="D16" s="11" t="n">
        <v>0.9</v>
      </c>
      <c r="E16" s="11" t="n">
        <v>5.1</v>
      </c>
      <c r="F16" s="11" t="n">
        <v>2.5</v>
      </c>
      <c r="G16" s="11" t="n">
        <v>1</v>
      </c>
      <c r="H16" s="11" t="n">
        <v>1.9</v>
      </c>
      <c r="I16" s="11" t="n">
        <v>2.3</v>
      </c>
      <c r="J16" s="11" t="n">
        <v>2.6</v>
      </c>
      <c r="K16" s="11" t="n">
        <v>1.9</v>
      </c>
      <c r="L16" s="11" t="n">
        <v>1.6</v>
      </c>
      <c r="M16" s="11" t="n">
        <v>1.6</v>
      </c>
      <c r="N16" s="11" t="n">
        <v>3.3</v>
      </c>
      <c r="O16" s="11" t="n">
        <v>1.7</v>
      </c>
      <c r="P16" s="11" t="n">
        <v>1.3</v>
      </c>
      <c r="Q16" s="11" t="n">
        <v>1.8</v>
      </c>
      <c r="R16" s="11" t="n">
        <v>2</v>
      </c>
      <c r="S16" s="11" t="n">
        <v>2.1</v>
      </c>
      <c r="T16" s="11" t="n">
        <v>1.7</v>
      </c>
      <c r="U16" s="11" t="n">
        <v>1.1</v>
      </c>
      <c r="V16" s="11" t="n">
        <v>2.3</v>
      </c>
      <c r="W16" s="11" t="n">
        <v>4.9</v>
      </c>
      <c r="X16" s="11" t="n">
        <v>1.7</v>
      </c>
      <c r="Y16" s="11" t="n">
        <v>0.2</v>
      </c>
      <c r="Z16" s="11"/>
    </row>
    <row r="17" customFormat="false" ht="15" hidden="false" customHeight="false" outlineLevel="0" collapsed="false">
      <c r="A17" s="2" t="n">
        <v>25</v>
      </c>
      <c r="B17" s="11"/>
      <c r="C17" s="11"/>
      <c r="D17" s="11" t="n">
        <v>0.2</v>
      </c>
      <c r="E17" s="11" t="n">
        <v>1.6</v>
      </c>
      <c r="F17" s="11" t="n">
        <v>4.7</v>
      </c>
      <c r="G17" s="11" t="n">
        <v>3.5</v>
      </c>
      <c r="H17" s="11" t="n">
        <v>0.9</v>
      </c>
      <c r="I17" s="11" t="n">
        <v>1</v>
      </c>
      <c r="J17" s="11" t="n">
        <v>1.2</v>
      </c>
      <c r="K17" s="11" t="n">
        <v>1.4</v>
      </c>
      <c r="L17" s="11" t="n">
        <v>1.5</v>
      </c>
      <c r="M17" s="11" t="n">
        <v>1.8</v>
      </c>
      <c r="N17" s="11" t="n">
        <v>3.5</v>
      </c>
      <c r="O17" s="11" t="n">
        <v>1.5</v>
      </c>
      <c r="P17" s="11" t="n">
        <v>1.2</v>
      </c>
      <c r="Q17" s="11" t="n">
        <v>1.2</v>
      </c>
      <c r="R17" s="11" t="n">
        <v>1.2</v>
      </c>
      <c r="S17" s="11" t="n">
        <v>1</v>
      </c>
      <c r="T17" s="11" t="n">
        <v>0.7</v>
      </c>
      <c r="U17" s="11" t="n">
        <v>3.2</v>
      </c>
      <c r="V17" s="11" t="n">
        <v>4.6</v>
      </c>
      <c r="W17" s="11" t="n">
        <v>2</v>
      </c>
      <c r="X17" s="11" t="n">
        <v>0.3</v>
      </c>
      <c r="Y17" s="11"/>
      <c r="Z17" s="11"/>
    </row>
    <row r="18" customFormat="false" ht="15" hidden="false" customHeight="false" outlineLevel="0" collapsed="false">
      <c r="A18" s="2" t="n">
        <v>27</v>
      </c>
      <c r="B18" s="11"/>
      <c r="C18" s="11"/>
      <c r="D18" s="11"/>
      <c r="E18" s="11" t="n">
        <v>0.2</v>
      </c>
      <c r="F18" s="11" t="n">
        <v>1.4</v>
      </c>
      <c r="G18" s="11" t="n">
        <v>3.7</v>
      </c>
      <c r="H18" s="11" t="n">
        <v>4</v>
      </c>
      <c r="I18" s="11" t="n">
        <v>1.9</v>
      </c>
      <c r="J18" s="11" t="n">
        <v>0.8</v>
      </c>
      <c r="K18" s="11" t="n">
        <v>0.6</v>
      </c>
      <c r="L18" s="11" t="n">
        <v>0.6</v>
      </c>
      <c r="M18" s="11" t="n">
        <v>1.1</v>
      </c>
      <c r="N18" s="11" t="n">
        <v>1.6</v>
      </c>
      <c r="O18" s="11" t="n">
        <v>0.9</v>
      </c>
      <c r="P18" s="11" t="n">
        <v>0.6</v>
      </c>
      <c r="Q18" s="11" t="n">
        <v>0.5</v>
      </c>
      <c r="R18" s="11" t="n">
        <v>0.5</v>
      </c>
      <c r="S18" s="11" t="n">
        <v>1.4</v>
      </c>
      <c r="T18" s="11" t="n">
        <v>3.4</v>
      </c>
      <c r="U18" s="11" t="n">
        <v>3.8</v>
      </c>
      <c r="V18" s="11" t="n">
        <v>1.5</v>
      </c>
      <c r="W18" s="11" t="n">
        <v>0.3</v>
      </c>
      <c r="X18" s="11"/>
      <c r="Y18" s="11"/>
      <c r="Z18" s="11"/>
    </row>
    <row r="19" customFormat="false" ht="15" hidden="false" customHeight="false" outlineLevel="0" collapsed="false">
      <c r="A19" s="2" t="n">
        <v>29</v>
      </c>
      <c r="B19" s="11"/>
      <c r="C19" s="11"/>
      <c r="D19" s="11"/>
      <c r="E19" s="11"/>
      <c r="F19" s="11" t="n">
        <v>0.2</v>
      </c>
      <c r="G19" s="11" t="n">
        <v>0.5</v>
      </c>
      <c r="H19" s="11" t="n">
        <v>1.4</v>
      </c>
      <c r="I19" s="11" t="n">
        <v>2.4</v>
      </c>
      <c r="J19" s="11" t="n">
        <v>2.7</v>
      </c>
      <c r="K19" s="11" t="n">
        <v>2</v>
      </c>
      <c r="L19" s="11" t="n">
        <v>1.6</v>
      </c>
      <c r="M19" s="11" t="n">
        <v>1.6</v>
      </c>
      <c r="N19" s="11" t="n">
        <v>2.3</v>
      </c>
      <c r="O19" s="11" t="n">
        <v>1.5</v>
      </c>
      <c r="P19" s="11" t="n">
        <v>1.3</v>
      </c>
      <c r="Q19" s="11" t="n">
        <v>1.7</v>
      </c>
      <c r="R19" s="11" t="n">
        <v>2.1</v>
      </c>
      <c r="S19" s="11" t="n">
        <v>2.3</v>
      </c>
      <c r="T19" s="11" t="n">
        <v>1.6</v>
      </c>
      <c r="U19" s="11" t="n">
        <v>0.6</v>
      </c>
      <c r="V19" s="11"/>
      <c r="W19" s="11"/>
      <c r="X19" s="11"/>
      <c r="Y19" s="11"/>
      <c r="Z19" s="11"/>
    </row>
    <row r="20" customFormat="false" ht="15" hidden="false" customHeight="false" outlineLevel="0" collapsed="false">
      <c r="A20" s="2" t="n">
        <v>31</v>
      </c>
      <c r="B20" s="11"/>
      <c r="C20" s="11"/>
      <c r="D20" s="11"/>
      <c r="E20" s="11"/>
      <c r="F20" s="11"/>
      <c r="G20" s="11"/>
      <c r="H20" s="11" t="n">
        <v>0.2</v>
      </c>
      <c r="I20" s="11" t="n">
        <v>0.3</v>
      </c>
      <c r="J20" s="11" t="n">
        <v>0.7</v>
      </c>
      <c r="K20" s="11" t="n">
        <v>1</v>
      </c>
      <c r="L20" s="11" t="n">
        <v>1.2</v>
      </c>
      <c r="M20" s="11" t="n">
        <v>1.9</v>
      </c>
      <c r="N20" s="11" t="n">
        <v>3.7</v>
      </c>
      <c r="O20" s="11" t="n">
        <v>2.4</v>
      </c>
      <c r="P20" s="11" t="n">
        <v>1.3</v>
      </c>
      <c r="Q20" s="11" t="n">
        <v>0.8</v>
      </c>
      <c r="R20" s="11" t="n">
        <v>0.6</v>
      </c>
      <c r="S20" s="11" t="n">
        <v>0.3</v>
      </c>
      <c r="T20" s="11"/>
      <c r="U20" s="11"/>
      <c r="V20" s="11"/>
      <c r="W20" s="11"/>
      <c r="X20" s="11"/>
      <c r="Y20" s="11"/>
      <c r="Z20" s="11"/>
    </row>
  </sheetData>
  <conditionalFormatting sqref="B5:Z20">
    <cfRule type="colorScale" priority="2">
      <colorScale>
        <cfvo type="num" val="0"/>
        <cfvo type="num" val="10"/>
        <cfvo type="max" val="0"/>
        <color rgb="FFFFFFFF"/>
        <color rgb="FFF4B183"/>
        <color rgb="FFC0392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6" min="2" style="0" width="5.51"/>
  </cols>
  <sheetData>
    <row r="1" customFormat="false" ht="17.35" hidden="false" customHeight="false" outlineLevel="0" collapsed="false">
      <c r="A1" s="1" t="s">
        <v>79</v>
      </c>
    </row>
    <row r="2" customFormat="false" ht="15" hidden="false" customHeight="false" outlineLevel="0" collapsed="false">
      <c r="A2" s="0" t="s">
        <v>78</v>
      </c>
    </row>
    <row r="4" customFormat="false" ht="15" hidden="false" customHeight="false" outlineLevel="0" collapsed="false">
      <c r="B4" s="2" t="n">
        <v>-24</v>
      </c>
      <c r="C4" s="2" t="n">
        <v>-22</v>
      </c>
      <c r="D4" s="2" t="n">
        <v>-20</v>
      </c>
      <c r="E4" s="2" t="n">
        <v>-18</v>
      </c>
      <c r="F4" s="2" t="n">
        <v>-16</v>
      </c>
      <c r="G4" s="2" t="n">
        <v>-14</v>
      </c>
      <c r="H4" s="2" t="n">
        <v>-12</v>
      </c>
      <c r="I4" s="2" t="n">
        <v>-10</v>
      </c>
      <c r="J4" s="2" t="n">
        <v>-8</v>
      </c>
      <c r="K4" s="2" t="n">
        <v>-6</v>
      </c>
      <c r="L4" s="2" t="n">
        <v>-4</v>
      </c>
      <c r="M4" s="2" t="n">
        <v>-2</v>
      </c>
      <c r="N4" s="2" t="n">
        <v>0</v>
      </c>
      <c r="O4" s="2" t="n">
        <v>2</v>
      </c>
      <c r="P4" s="2" t="n">
        <v>4</v>
      </c>
      <c r="Q4" s="2" t="n">
        <v>6</v>
      </c>
      <c r="R4" s="2" t="n">
        <v>8</v>
      </c>
      <c r="S4" s="2" t="n">
        <v>10</v>
      </c>
      <c r="T4" s="2" t="n">
        <v>12</v>
      </c>
      <c r="U4" s="2" t="n">
        <v>14</v>
      </c>
      <c r="V4" s="2" t="n">
        <v>16</v>
      </c>
      <c r="W4" s="2" t="n">
        <v>18</v>
      </c>
      <c r="X4" s="2" t="n">
        <v>20</v>
      </c>
      <c r="Y4" s="2" t="n">
        <v>22</v>
      </c>
      <c r="Z4" s="2" t="n">
        <v>24</v>
      </c>
    </row>
    <row r="5" customFormat="false" ht="15" hidden="false" customHeight="false" outlineLevel="0" collapsed="false">
      <c r="A5" s="2" t="n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customFormat="false" ht="15" hidden="false" customHeight="false" outlineLevel="0" collapsed="false">
      <c r="A6" s="2" t="n">
        <v>3</v>
      </c>
      <c r="B6" s="11" t="n">
        <v>1.1</v>
      </c>
      <c r="C6" s="11" t="n">
        <v>1.6</v>
      </c>
      <c r="D6" s="11"/>
      <c r="E6" s="11"/>
      <c r="F6" s="11"/>
      <c r="G6" s="11" t="n">
        <v>0.2</v>
      </c>
      <c r="H6" s="11" t="n">
        <v>0.2</v>
      </c>
      <c r="I6" s="11"/>
      <c r="J6" s="11"/>
      <c r="K6" s="11"/>
      <c r="L6" s="11"/>
      <c r="M6" s="11"/>
      <c r="N6" s="11" t="n">
        <v>0.2</v>
      </c>
      <c r="O6" s="11" t="n">
        <v>0.2</v>
      </c>
      <c r="P6" s="11"/>
      <c r="Q6" s="11"/>
      <c r="R6" s="11"/>
      <c r="S6" s="11"/>
      <c r="T6" s="11" t="n">
        <v>0.2</v>
      </c>
      <c r="U6" s="11" t="n">
        <v>0.2</v>
      </c>
      <c r="V6" s="11"/>
      <c r="W6" s="11"/>
      <c r="X6" s="11"/>
      <c r="Y6" s="11" t="n">
        <v>2.8</v>
      </c>
      <c r="Z6" s="11" t="n">
        <v>3.6</v>
      </c>
    </row>
    <row r="7" customFormat="false" ht="15" hidden="false" customHeight="false" outlineLevel="0" collapsed="false">
      <c r="A7" s="2" t="n">
        <v>5</v>
      </c>
      <c r="B7" s="11" t="n">
        <v>5.3</v>
      </c>
      <c r="C7" s="11" t="n">
        <v>7.5</v>
      </c>
      <c r="D7" s="11" t="n">
        <v>0.3</v>
      </c>
      <c r="E7" s="11" t="n">
        <v>0.2</v>
      </c>
      <c r="F7" s="11" t="n">
        <v>0.5</v>
      </c>
      <c r="G7" s="11" t="n">
        <v>0.7</v>
      </c>
      <c r="H7" s="11" t="n">
        <v>0.8</v>
      </c>
      <c r="I7" s="11" t="n">
        <v>0.9</v>
      </c>
      <c r="J7" s="11" t="n">
        <v>0.7</v>
      </c>
      <c r="K7" s="11" t="n">
        <v>1</v>
      </c>
      <c r="L7" s="11" t="n">
        <v>3.4</v>
      </c>
      <c r="M7" s="11" t="n">
        <v>17.1</v>
      </c>
      <c r="N7" s="11" t="n">
        <v>67.5</v>
      </c>
      <c r="O7" s="11" t="n">
        <v>17</v>
      </c>
      <c r="P7" s="11" t="n">
        <v>3</v>
      </c>
      <c r="Q7" s="11" t="n">
        <v>1.1</v>
      </c>
      <c r="R7" s="11" t="n">
        <v>0.8</v>
      </c>
      <c r="S7" s="11" t="n">
        <v>0.9</v>
      </c>
      <c r="T7" s="11" t="n">
        <v>0.8</v>
      </c>
      <c r="U7" s="11" t="n">
        <v>0.7</v>
      </c>
      <c r="V7" s="11" t="n">
        <v>0.4</v>
      </c>
      <c r="W7" s="11" t="n">
        <v>0.2</v>
      </c>
      <c r="X7" s="11" t="n">
        <v>0.3</v>
      </c>
      <c r="Y7" s="11" t="n">
        <v>8.4</v>
      </c>
      <c r="Z7" s="11" t="n">
        <v>9.7</v>
      </c>
    </row>
    <row r="8" customFormat="false" ht="15" hidden="false" customHeight="false" outlineLevel="0" collapsed="false">
      <c r="A8" s="2" t="n">
        <v>7</v>
      </c>
      <c r="B8" s="11" t="n">
        <v>7.5</v>
      </c>
      <c r="C8" s="11" t="n">
        <v>8.8</v>
      </c>
      <c r="D8" s="11" t="n">
        <v>0.3</v>
      </c>
      <c r="E8" s="11" t="n">
        <v>0.2</v>
      </c>
      <c r="F8" s="11" t="n">
        <v>0.5</v>
      </c>
      <c r="G8" s="11" t="n">
        <v>0.9</v>
      </c>
      <c r="H8" s="11" t="n">
        <v>1.1</v>
      </c>
      <c r="I8" s="11" t="n">
        <v>1.7</v>
      </c>
      <c r="J8" s="11" t="n">
        <v>1.7</v>
      </c>
      <c r="K8" s="11" t="n">
        <v>3.8</v>
      </c>
      <c r="L8" s="11" t="n">
        <v>13.2</v>
      </c>
      <c r="M8" s="11" t="n">
        <v>39.9</v>
      </c>
      <c r="N8" s="11" t="n">
        <v>67.7</v>
      </c>
      <c r="O8" s="11" t="n">
        <v>37.6</v>
      </c>
      <c r="P8" s="11" t="n">
        <v>11.3</v>
      </c>
      <c r="Q8" s="11" t="n">
        <v>3.5</v>
      </c>
      <c r="R8" s="11" t="n">
        <v>1.5</v>
      </c>
      <c r="S8" s="11" t="n">
        <v>1.2</v>
      </c>
      <c r="T8" s="11" t="n">
        <v>1.1</v>
      </c>
      <c r="U8" s="11" t="n">
        <v>0.9</v>
      </c>
      <c r="V8" s="11" t="n">
        <v>0.6</v>
      </c>
      <c r="W8" s="11" t="n">
        <v>0.2</v>
      </c>
      <c r="X8" s="11" t="n">
        <v>0.3</v>
      </c>
      <c r="Y8" s="11" t="n">
        <v>6.7</v>
      </c>
      <c r="Z8" s="11" t="n">
        <v>9.3</v>
      </c>
    </row>
    <row r="9" customFormat="false" ht="15" hidden="false" customHeight="false" outlineLevel="0" collapsed="false">
      <c r="A9" s="2" t="n">
        <v>9</v>
      </c>
      <c r="B9" s="11" t="n">
        <v>4.7</v>
      </c>
      <c r="C9" s="11" t="n">
        <v>5.2</v>
      </c>
      <c r="D9" s="11" t="n">
        <v>0.1</v>
      </c>
      <c r="E9" s="11" t="n">
        <v>0.2</v>
      </c>
      <c r="F9" s="11" t="n">
        <v>0.4</v>
      </c>
      <c r="G9" s="11" t="n">
        <v>0.6</v>
      </c>
      <c r="H9" s="11" t="n">
        <v>0.8</v>
      </c>
      <c r="I9" s="11" t="n">
        <v>1.4</v>
      </c>
      <c r="J9" s="11" t="n">
        <v>2</v>
      </c>
      <c r="K9" s="11" t="n">
        <v>4.2</v>
      </c>
      <c r="L9" s="11" t="n">
        <v>9.3</v>
      </c>
      <c r="M9" s="11" t="n">
        <v>13.2</v>
      </c>
      <c r="N9" s="11" t="n">
        <v>19</v>
      </c>
      <c r="O9" s="11" t="n">
        <v>13.5</v>
      </c>
      <c r="P9" s="11" t="n">
        <v>7.5</v>
      </c>
      <c r="Q9" s="11" t="n">
        <v>3.3</v>
      </c>
      <c r="R9" s="11" t="n">
        <v>1.9</v>
      </c>
      <c r="S9" s="11" t="n">
        <v>1.3</v>
      </c>
      <c r="T9" s="11" t="n">
        <v>0.8</v>
      </c>
      <c r="U9" s="11" t="n">
        <v>0.9</v>
      </c>
      <c r="V9" s="11" t="n">
        <v>0.5</v>
      </c>
      <c r="W9" s="11" t="n">
        <v>0.2</v>
      </c>
      <c r="X9" s="11" t="n">
        <v>0.2</v>
      </c>
      <c r="Y9" s="11" t="n">
        <v>3.4</v>
      </c>
      <c r="Z9" s="11" t="n">
        <v>5.1</v>
      </c>
    </row>
    <row r="10" customFormat="false" ht="15" hidden="false" customHeight="false" outlineLevel="0" collapsed="false">
      <c r="A10" s="2" t="n">
        <v>11</v>
      </c>
      <c r="B10" s="11" t="n">
        <v>3.5</v>
      </c>
      <c r="C10" s="11" t="n">
        <v>3.8</v>
      </c>
      <c r="D10" s="11"/>
      <c r="E10" s="11" t="n">
        <v>0.2</v>
      </c>
      <c r="F10" s="11" t="n">
        <v>0.3</v>
      </c>
      <c r="G10" s="11" t="n">
        <v>0.5</v>
      </c>
      <c r="H10" s="11" t="n">
        <v>0.7</v>
      </c>
      <c r="I10" s="11" t="n">
        <v>1.3</v>
      </c>
      <c r="J10" s="11" t="n">
        <v>1.6</v>
      </c>
      <c r="K10" s="11" t="n">
        <v>3.2</v>
      </c>
      <c r="L10" s="11" t="n">
        <v>6.1</v>
      </c>
      <c r="M10" s="11" t="n">
        <v>8.1</v>
      </c>
      <c r="N10" s="11" t="n">
        <v>12.6</v>
      </c>
      <c r="O10" s="11" t="n">
        <v>7.6</v>
      </c>
      <c r="P10" s="11" t="n">
        <v>5.2</v>
      </c>
      <c r="Q10" s="11" t="n">
        <v>2.8</v>
      </c>
      <c r="R10" s="11" t="n">
        <v>1.5</v>
      </c>
      <c r="S10" s="11" t="n">
        <v>1.1</v>
      </c>
      <c r="T10" s="11" t="n">
        <v>0.8</v>
      </c>
      <c r="U10" s="11" t="n">
        <v>0.5</v>
      </c>
      <c r="V10" s="11" t="n">
        <v>0.3</v>
      </c>
      <c r="W10" s="11" t="n">
        <v>0.2</v>
      </c>
      <c r="X10" s="11" t="n">
        <v>0.1</v>
      </c>
      <c r="Y10" s="11" t="n">
        <v>1.9</v>
      </c>
      <c r="Z10" s="11" t="n">
        <v>3.1</v>
      </c>
    </row>
    <row r="11" customFormat="false" ht="15" hidden="false" customHeight="false" outlineLevel="0" collapsed="false">
      <c r="A11" s="2" t="n">
        <v>13</v>
      </c>
      <c r="B11" s="11" t="n">
        <v>2</v>
      </c>
      <c r="C11" s="11" t="n">
        <v>2.8</v>
      </c>
      <c r="D11" s="11"/>
      <c r="E11" s="11"/>
      <c r="F11" s="11" t="n">
        <v>0.3</v>
      </c>
      <c r="G11" s="11" t="n">
        <v>0.5</v>
      </c>
      <c r="H11" s="11" t="n">
        <v>0.7</v>
      </c>
      <c r="I11" s="11" t="n">
        <v>0.9</v>
      </c>
      <c r="J11" s="11" t="n">
        <v>1.1</v>
      </c>
      <c r="K11" s="11" t="n">
        <v>2.2</v>
      </c>
      <c r="L11" s="11" t="n">
        <v>3.8</v>
      </c>
      <c r="M11" s="11" t="n">
        <v>4.9</v>
      </c>
      <c r="N11" s="11" t="n">
        <v>8.1</v>
      </c>
      <c r="O11" s="11" t="n">
        <v>5.1</v>
      </c>
      <c r="P11" s="11" t="n">
        <v>3.5</v>
      </c>
      <c r="Q11" s="11" t="n">
        <v>2.2</v>
      </c>
      <c r="R11" s="11" t="n">
        <v>1.2</v>
      </c>
      <c r="S11" s="11" t="n">
        <v>0.9</v>
      </c>
      <c r="T11" s="11" t="n">
        <v>0.7</v>
      </c>
      <c r="U11" s="11" t="n">
        <v>0.5</v>
      </c>
      <c r="V11" s="11" t="n">
        <v>0.3</v>
      </c>
      <c r="W11" s="11"/>
      <c r="X11" s="11" t="n">
        <v>0.2</v>
      </c>
      <c r="Y11" s="11" t="n">
        <v>1.5</v>
      </c>
      <c r="Z11" s="11" t="n">
        <v>1.9</v>
      </c>
    </row>
    <row r="12" customFormat="false" ht="15" hidden="false" customHeight="false" outlineLevel="0" collapsed="false">
      <c r="A12" s="2" t="n">
        <v>15</v>
      </c>
      <c r="B12" s="11" t="n">
        <v>1.1</v>
      </c>
      <c r="C12" s="11" t="n">
        <v>2.4</v>
      </c>
      <c r="D12" s="11"/>
      <c r="E12" s="11" t="n">
        <v>0.2</v>
      </c>
      <c r="F12" s="11" t="n">
        <v>0.3</v>
      </c>
      <c r="G12" s="11" t="n">
        <v>0.4</v>
      </c>
      <c r="H12" s="11" t="n">
        <v>0.7</v>
      </c>
      <c r="I12" s="11" t="n">
        <v>0.8</v>
      </c>
      <c r="J12" s="11" t="n">
        <v>1.1</v>
      </c>
      <c r="K12" s="11" t="n">
        <v>2.2</v>
      </c>
      <c r="L12" s="11" t="n">
        <v>3.5</v>
      </c>
      <c r="M12" s="11" t="n">
        <v>3.7</v>
      </c>
      <c r="N12" s="11" t="n">
        <v>5.9</v>
      </c>
      <c r="O12" s="11" t="n">
        <v>4</v>
      </c>
      <c r="P12" s="11" t="n">
        <v>2.9</v>
      </c>
      <c r="Q12" s="11" t="n">
        <v>2.2</v>
      </c>
      <c r="R12" s="11" t="n">
        <v>1.2</v>
      </c>
      <c r="S12" s="11" t="n">
        <v>0.9</v>
      </c>
      <c r="T12" s="11" t="n">
        <v>0.7</v>
      </c>
      <c r="U12" s="11" t="n">
        <v>0.5</v>
      </c>
      <c r="V12" s="11" t="n">
        <v>0.3</v>
      </c>
      <c r="W12" s="11"/>
      <c r="X12" s="11" t="n">
        <v>0.2</v>
      </c>
      <c r="Y12" s="11" t="n">
        <v>1.7</v>
      </c>
      <c r="Z12" s="11" t="n">
        <v>1.3</v>
      </c>
    </row>
    <row r="13" customFormat="false" ht="15" hidden="false" customHeight="false" outlineLevel="0" collapsed="false">
      <c r="A13" s="2" t="n">
        <v>17</v>
      </c>
      <c r="B13" s="11" t="n">
        <v>0.5</v>
      </c>
      <c r="C13" s="11" t="n">
        <v>3.9</v>
      </c>
      <c r="D13" s="11" t="n">
        <v>0.2</v>
      </c>
      <c r="E13" s="11"/>
      <c r="F13" s="11" t="n">
        <v>0.3</v>
      </c>
      <c r="G13" s="11" t="n">
        <v>0.6</v>
      </c>
      <c r="H13" s="11" t="n">
        <v>0.9</v>
      </c>
      <c r="I13" s="11" t="n">
        <v>1.3</v>
      </c>
      <c r="J13" s="11" t="n">
        <v>1.2</v>
      </c>
      <c r="K13" s="11" t="n">
        <v>2.5</v>
      </c>
      <c r="L13" s="11" t="n">
        <v>2.8</v>
      </c>
      <c r="M13" s="11" t="n">
        <v>2.9</v>
      </c>
      <c r="N13" s="11" t="n">
        <v>4.3</v>
      </c>
      <c r="O13" s="11" t="n">
        <v>3</v>
      </c>
      <c r="P13" s="11" t="n">
        <v>2.5</v>
      </c>
      <c r="Q13" s="11" t="n">
        <v>2.2</v>
      </c>
      <c r="R13" s="11" t="n">
        <v>1.2</v>
      </c>
      <c r="S13" s="11" t="n">
        <v>1</v>
      </c>
      <c r="T13" s="11" t="n">
        <v>0.9</v>
      </c>
      <c r="U13" s="11" t="n">
        <v>0.6</v>
      </c>
      <c r="V13" s="11" t="n">
        <v>0.3</v>
      </c>
      <c r="W13" s="11" t="n">
        <v>0.2</v>
      </c>
      <c r="X13" s="11" t="n">
        <v>0.3</v>
      </c>
      <c r="Y13" s="11" t="n">
        <v>4</v>
      </c>
      <c r="Z13" s="11" t="n">
        <v>0.7</v>
      </c>
    </row>
    <row r="14" customFormat="false" ht="15" hidden="false" customHeight="false" outlineLevel="0" collapsed="false">
      <c r="A14" s="2" t="n">
        <v>19</v>
      </c>
      <c r="B14" s="11" t="n">
        <v>0.1</v>
      </c>
      <c r="C14" s="11" t="n">
        <v>3.8</v>
      </c>
      <c r="D14" s="11" t="n">
        <v>2.1</v>
      </c>
      <c r="E14" s="11"/>
      <c r="F14" s="11" t="n">
        <v>0.2</v>
      </c>
      <c r="G14" s="11" t="n">
        <v>0.3</v>
      </c>
      <c r="H14" s="11" t="n">
        <v>0.8</v>
      </c>
      <c r="I14" s="11" t="n">
        <v>1.3</v>
      </c>
      <c r="J14" s="11" t="n">
        <v>1.3</v>
      </c>
      <c r="K14" s="11" t="n">
        <v>1.5</v>
      </c>
      <c r="L14" s="11" t="n">
        <v>1.4</v>
      </c>
      <c r="M14" s="11" t="n">
        <v>1.5</v>
      </c>
      <c r="N14" s="11" t="n">
        <v>2.6</v>
      </c>
      <c r="O14" s="11" t="n">
        <v>1.5</v>
      </c>
      <c r="P14" s="11" t="n">
        <v>1.2</v>
      </c>
      <c r="Q14" s="11" t="n">
        <v>1.2</v>
      </c>
      <c r="R14" s="11" t="n">
        <v>1.3</v>
      </c>
      <c r="S14" s="11" t="n">
        <v>1</v>
      </c>
      <c r="T14" s="11" t="n">
        <v>0.8</v>
      </c>
      <c r="U14" s="11" t="n">
        <v>0.5</v>
      </c>
      <c r="V14" s="11" t="n">
        <v>0.3</v>
      </c>
      <c r="W14" s="11" t="n">
        <v>0.2</v>
      </c>
      <c r="X14" s="11" t="n">
        <v>2.3</v>
      </c>
      <c r="Y14" s="11" t="n">
        <v>4.3</v>
      </c>
      <c r="Z14" s="11" t="n">
        <v>0.2</v>
      </c>
    </row>
    <row r="15" customFormat="false" ht="15" hidden="false" customHeight="false" outlineLevel="0" collapsed="false">
      <c r="A15" s="2" t="n">
        <v>21</v>
      </c>
      <c r="B15" s="11"/>
      <c r="C15" s="11" t="n">
        <v>1.5</v>
      </c>
      <c r="D15" s="11" t="n">
        <v>5.3</v>
      </c>
      <c r="E15" s="11" t="n">
        <v>1.2</v>
      </c>
      <c r="F15" s="11" t="n">
        <v>0.2</v>
      </c>
      <c r="G15" s="11" t="n">
        <v>0.3</v>
      </c>
      <c r="H15" s="11" t="n">
        <v>0.6</v>
      </c>
      <c r="I15" s="11" t="n">
        <v>1.1</v>
      </c>
      <c r="J15" s="11" t="n">
        <v>1.1</v>
      </c>
      <c r="K15" s="11" t="n">
        <v>0.9</v>
      </c>
      <c r="L15" s="11" t="n">
        <v>1.2</v>
      </c>
      <c r="M15" s="11" t="n">
        <v>1.5</v>
      </c>
      <c r="N15" s="11" t="n">
        <v>2.3</v>
      </c>
      <c r="O15" s="11" t="n">
        <v>1.6</v>
      </c>
      <c r="P15" s="11" t="n">
        <v>1.1</v>
      </c>
      <c r="Q15" s="11" t="n">
        <v>0.9</v>
      </c>
      <c r="R15" s="11" t="n">
        <v>1.2</v>
      </c>
      <c r="S15" s="11" t="n">
        <v>1</v>
      </c>
      <c r="T15" s="11" t="n">
        <v>0.7</v>
      </c>
      <c r="U15" s="11" t="n">
        <v>0.5</v>
      </c>
      <c r="V15" s="11" t="n">
        <v>0.2</v>
      </c>
      <c r="W15" s="11" t="n">
        <v>1.5</v>
      </c>
      <c r="X15" s="11" t="n">
        <v>6.5</v>
      </c>
      <c r="Y15" s="11" t="n">
        <v>2.2</v>
      </c>
      <c r="Z15" s="11"/>
    </row>
    <row r="16" customFormat="false" ht="15" hidden="false" customHeight="false" outlineLevel="0" collapsed="false">
      <c r="A16" s="2" t="n">
        <v>23</v>
      </c>
      <c r="B16" s="11"/>
      <c r="C16" s="11" t="n">
        <v>0.5</v>
      </c>
      <c r="D16" s="11" t="n">
        <v>3.4</v>
      </c>
      <c r="E16" s="11" t="n">
        <v>6.6</v>
      </c>
      <c r="F16" s="11" t="n">
        <v>1.4</v>
      </c>
      <c r="G16" s="11"/>
      <c r="H16" s="11" t="n">
        <v>0.3</v>
      </c>
      <c r="I16" s="11" t="n">
        <v>0.6</v>
      </c>
      <c r="J16" s="11" t="n">
        <v>0.7</v>
      </c>
      <c r="K16" s="11" t="n">
        <v>0.7</v>
      </c>
      <c r="L16" s="11" t="n">
        <v>0.8</v>
      </c>
      <c r="M16" s="11" t="n">
        <v>0.8</v>
      </c>
      <c r="N16" s="11" t="n">
        <v>1.3</v>
      </c>
      <c r="O16" s="11" t="n">
        <v>0.9</v>
      </c>
      <c r="P16" s="11" t="n">
        <v>0.9</v>
      </c>
      <c r="Q16" s="11" t="n">
        <v>0.6</v>
      </c>
      <c r="R16" s="11" t="n">
        <v>0.7</v>
      </c>
      <c r="S16" s="11" t="n">
        <v>0.5</v>
      </c>
      <c r="T16" s="11" t="n">
        <v>0.4</v>
      </c>
      <c r="U16" s="11" t="n">
        <v>0.2</v>
      </c>
      <c r="V16" s="11" t="n">
        <v>1.9</v>
      </c>
      <c r="W16" s="11" t="n">
        <v>8.4</v>
      </c>
      <c r="X16" s="11" t="n">
        <v>4.8</v>
      </c>
      <c r="Y16" s="11" t="n">
        <v>0.7</v>
      </c>
      <c r="Z16" s="11"/>
    </row>
    <row r="17" customFormat="false" ht="15" hidden="false" customHeight="false" outlineLevel="0" collapsed="false">
      <c r="A17" s="2" t="n">
        <v>25</v>
      </c>
      <c r="B17" s="11"/>
      <c r="C17" s="11"/>
      <c r="D17" s="11" t="n">
        <v>1.3</v>
      </c>
      <c r="E17" s="11" t="n">
        <v>5</v>
      </c>
      <c r="F17" s="11" t="n">
        <v>8.8</v>
      </c>
      <c r="G17" s="11" t="n">
        <v>2.3</v>
      </c>
      <c r="H17" s="11" t="n">
        <v>0.3</v>
      </c>
      <c r="I17" s="11" t="n">
        <v>0.2</v>
      </c>
      <c r="J17" s="11" t="n">
        <v>0.3</v>
      </c>
      <c r="K17" s="11" t="n">
        <v>0.3</v>
      </c>
      <c r="L17" s="11" t="n">
        <v>0.5</v>
      </c>
      <c r="M17" s="11" t="n">
        <v>0.5</v>
      </c>
      <c r="N17" s="11" t="n">
        <v>0.7</v>
      </c>
      <c r="O17" s="11" t="n">
        <v>0.5</v>
      </c>
      <c r="P17" s="11" t="n">
        <v>0.4</v>
      </c>
      <c r="Q17" s="11" t="n">
        <v>0.4</v>
      </c>
      <c r="R17" s="11" t="n">
        <v>0.3</v>
      </c>
      <c r="S17" s="11" t="n">
        <v>0.2</v>
      </c>
      <c r="T17" s="11" t="n">
        <v>0.3</v>
      </c>
      <c r="U17" s="11" t="n">
        <v>2.7</v>
      </c>
      <c r="V17" s="11" t="n">
        <v>9.5</v>
      </c>
      <c r="W17" s="11" t="n">
        <v>6.6</v>
      </c>
      <c r="X17" s="11" t="n">
        <v>1.6</v>
      </c>
      <c r="Y17" s="11" t="n">
        <v>0.2</v>
      </c>
      <c r="Z17" s="11"/>
    </row>
    <row r="18" customFormat="false" ht="15" hidden="false" customHeight="false" outlineLevel="0" collapsed="false">
      <c r="A18" s="2" t="n">
        <v>27</v>
      </c>
      <c r="B18" s="11"/>
      <c r="C18" s="11"/>
      <c r="D18" s="11" t="n">
        <v>0.4</v>
      </c>
      <c r="E18" s="11" t="n">
        <v>1.9</v>
      </c>
      <c r="F18" s="11" t="n">
        <v>6.7</v>
      </c>
      <c r="G18" s="11" t="n">
        <v>9.7</v>
      </c>
      <c r="H18" s="11" t="n">
        <v>5.7</v>
      </c>
      <c r="I18" s="11" t="n">
        <v>1.1</v>
      </c>
      <c r="J18" s="11" t="n">
        <v>0.1</v>
      </c>
      <c r="K18" s="11"/>
      <c r="L18" s="11" t="n">
        <v>0.2</v>
      </c>
      <c r="M18" s="11" t="n">
        <v>0.2</v>
      </c>
      <c r="N18" s="11" t="n">
        <v>0.2</v>
      </c>
      <c r="O18" s="11" t="n">
        <v>0.2</v>
      </c>
      <c r="P18" s="11"/>
      <c r="Q18" s="11" t="n">
        <v>0.2</v>
      </c>
      <c r="R18" s="11" t="n">
        <v>0.2</v>
      </c>
      <c r="S18" s="11" t="n">
        <v>1.5</v>
      </c>
      <c r="T18" s="11" t="n">
        <v>5.4</v>
      </c>
      <c r="U18" s="11" t="n">
        <v>9.5</v>
      </c>
      <c r="V18" s="11" t="n">
        <v>7</v>
      </c>
      <c r="W18" s="11" t="n">
        <v>2.2</v>
      </c>
      <c r="X18" s="11" t="n">
        <v>0.5</v>
      </c>
      <c r="Y18" s="11"/>
      <c r="Z18" s="11"/>
    </row>
    <row r="19" customFormat="false" ht="15" hidden="false" customHeight="false" outlineLevel="0" collapsed="false">
      <c r="A19" s="2" t="n">
        <v>29</v>
      </c>
      <c r="B19" s="11"/>
      <c r="C19" s="11"/>
      <c r="D19" s="11" t="n">
        <v>0.1</v>
      </c>
      <c r="E19" s="11" t="n">
        <v>0.5</v>
      </c>
      <c r="F19" s="11" t="n">
        <v>1.8</v>
      </c>
      <c r="G19" s="11" t="n">
        <v>4.4</v>
      </c>
      <c r="H19" s="11" t="n">
        <v>7.7</v>
      </c>
      <c r="I19" s="11" t="n">
        <v>8.4</v>
      </c>
      <c r="J19" s="11" t="n">
        <v>4.5</v>
      </c>
      <c r="K19" s="11" t="n">
        <v>2.1</v>
      </c>
      <c r="L19" s="11" t="n">
        <v>1.1</v>
      </c>
      <c r="M19" s="11" t="n">
        <v>0.8</v>
      </c>
      <c r="N19" s="11" t="n">
        <v>0.9</v>
      </c>
      <c r="O19" s="11" t="n">
        <v>0.9</v>
      </c>
      <c r="P19" s="11" t="n">
        <v>1.2</v>
      </c>
      <c r="Q19" s="11" t="n">
        <v>2.5</v>
      </c>
      <c r="R19" s="11" t="n">
        <v>5.2</v>
      </c>
      <c r="S19" s="11" t="n">
        <v>6.6</v>
      </c>
      <c r="T19" s="11" t="n">
        <v>6.7</v>
      </c>
      <c r="U19" s="11" t="n">
        <v>4.6</v>
      </c>
      <c r="V19" s="11" t="n">
        <v>2.4</v>
      </c>
      <c r="W19" s="11" t="n">
        <v>0.8</v>
      </c>
      <c r="X19" s="11" t="n">
        <v>0.3</v>
      </c>
      <c r="Y19" s="11"/>
      <c r="Z19" s="11"/>
    </row>
    <row r="20" customFormat="false" ht="15" hidden="false" customHeight="false" outlineLevel="0" collapsed="false">
      <c r="A20" s="2" t="n">
        <v>31</v>
      </c>
      <c r="B20" s="11"/>
      <c r="C20" s="11"/>
      <c r="D20" s="11"/>
      <c r="E20" s="11" t="n">
        <v>0.3</v>
      </c>
      <c r="F20" s="11" t="n">
        <v>0.5</v>
      </c>
      <c r="G20" s="11" t="n">
        <v>1.2</v>
      </c>
      <c r="H20" s="11" t="n">
        <v>1.9</v>
      </c>
      <c r="I20" s="11" t="n">
        <v>3.6</v>
      </c>
      <c r="J20" s="11" t="n">
        <v>4.5</v>
      </c>
      <c r="K20" s="11" t="n">
        <v>4.7</v>
      </c>
      <c r="L20" s="11" t="n">
        <v>5.5</v>
      </c>
      <c r="M20" s="11" t="n">
        <v>6.1</v>
      </c>
      <c r="N20" s="11" t="n">
        <v>7.5</v>
      </c>
      <c r="O20" s="11" t="n">
        <v>6.6</v>
      </c>
      <c r="P20" s="11" t="n">
        <v>5.2</v>
      </c>
      <c r="Q20" s="11" t="n">
        <v>4.7</v>
      </c>
      <c r="R20" s="11" t="n">
        <v>4.3</v>
      </c>
      <c r="S20" s="11" t="n">
        <v>3.1</v>
      </c>
      <c r="T20" s="11" t="n">
        <v>2.2</v>
      </c>
      <c r="U20" s="11" t="n">
        <v>1.4</v>
      </c>
      <c r="V20" s="11" t="n">
        <v>0.7</v>
      </c>
      <c r="W20" s="11" t="n">
        <v>0.3</v>
      </c>
      <c r="X20" s="11"/>
      <c r="Y20" s="11"/>
      <c r="Z20" s="11"/>
    </row>
  </sheetData>
  <conditionalFormatting sqref="B5:Z20">
    <cfRule type="colorScale" priority="2">
      <colorScale>
        <cfvo type="num" val="0"/>
        <cfvo type="num" val="10"/>
        <cfvo type="max" val="0"/>
        <color rgb="FFFFFFFF"/>
        <color rgb="FFF4B183"/>
        <color rgb="FFC0392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2026-10-07T19:26:12Z</dcterms:created>
  <dc:creator>openpyxl</dc:creator>
  <dc:description/>
  <dc:language>en-US</dc:language>
  <cp:lastModifiedBy/>
  <dcterms:modified xsi:type="dcterms:W3CDTF">2026-10-07T19:26:13Z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