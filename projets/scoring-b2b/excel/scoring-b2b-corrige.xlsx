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eciles" sheetId="2" state="visible" r:id="rId4"/>
    <sheet name="G1 Lift" sheetId="3" state="visible" r:id="rId5"/>
  </sheets>
  <definedNames>
    <definedName function="false" hidden="false" localSheetId="2" name="_xlnm.Print_Area" vbProcedure="false">'G1 Lift'!$A$1:$O$28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<sst xmlns="http://schemas.openxmlformats.org/spreadsheetml/2006/main" count="24" uniqueCount="24">
  <si>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Scoring de propension B2B : qui appeler en premier ? · CORRIGÉ</t>
  </si>
  <si>
    <t xml:space="preserve">Corrigé : formules en place, et chaque graphique a son onglet G. Ce sont ces graphiques qui sont sur le site.</t>
  </si>
  <si>
    <t xml:space="preserve">Les onglets</t>
  </si>
  <si>
    <t xml:space="preserve">• Deciles : le taux de conversion de chaque groupe de 10 %, du mieux noté au moins bien noté.</t>
  </si>
  <si>
    <t xml:space="preserve">• G1 : le graphique du lift.</t>
  </si>
  <si>
    <t xml:space="preserve">Source : UCI Bank Marketing (jeu public), via le dépôt scoring-prospects-b2b. Le modèle (scikit-learn) est dans le dépôt.</t>
  </si>
  <si>
    <t xml:space="preserve">Taux de conversion par décile de score</t>
  </si>
  <si>
    <t xml:space="preserve">Décile 1 = les 10 % de prospects les mieux notés par le modèle. Lift = taux du décile / taux moyen.</t>
  </si>
  <si>
    <t xml:space="preserve">Taux moyen :</t>
  </si>
  <si>
    <t xml:space="preserve">Décile</t>
  </si>
  <si>
    <t xml:space="preserve">Taux de conversion</t>
  </si>
  <si>
    <t xml:space="preserve">Prospects</t>
  </si>
  <si>
    <t xml:space="preserve">Lift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</si>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</sst>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0.0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B1F27"/>
      <name val="Calibri"/>
      <family val="2"/>
    </font>
    <font>
      <b val="true"/>
      <sz val="9"/>
      <color rgb="FF1B1F27"/>
      <name val="Calibri"/>
      <family val="2"/>
    </font>
    <font>
      <sz val="10"/>
      <color rgb="FF40404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8FA0C2"/>
      <rgbColor rgb="FF1F3864"/>
      <rgbColor rgb="FF339966"/>
      <rgbColor rgb="FF003300"/>
      <rgbColor rgb="FF1B1F2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Lift par décile : au-dessus de 1, mieux que la moyenne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Deciles!D4</c:f>
              <c:strCache>
                <c:ptCount val="1"/>
                <c:pt idx="0">
                  <c:v>Lift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.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.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0.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0.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0.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Deciles!$A$5:$A$14</c:f>
              <c:strCache>
                <c:ptCount val="10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</c:strCache>
            </c:strRef>
          </c:cat>
          <c:val>
            <c:numRef>
              <c:f>Deciles!$D$5:$D$14</c:f>
              <c:numCache>
                <c:formatCode>0.0</c:formatCode>
                <c:ptCount val="10"/>
                <c:pt idx="0">
                  <c:v>4.72183759510901</c:v>
                </c:pt>
                <c:pt idx="1">
                  <c:v>1.93045052055679</c:v>
                </c:pt>
                <c:pt idx="2">
                  <c:v>0.707388075808625</c:v>
                </c:pt>
                <c:pt idx="3">
                  <c:v>0.586679445557718</c:v>
                </c:pt>
                <c:pt idx="4">
                  <c:v>0.458870307644993</c:v>
                </c:pt>
                <c:pt idx="5">
                  <c:v>0.396740865604084</c:v>
                </c:pt>
                <c:pt idx="6">
                  <c:v>0.336386550478631</c:v>
                </c:pt>
                <c:pt idx="7">
                  <c:v>0.323073098612722</c:v>
                </c:pt>
                <c:pt idx="8">
                  <c:v>0.307984519831359</c:v>
                </c:pt>
                <c:pt idx="9">
                  <c:v>0.231654062466814</c:v>
                </c:pt>
              </c:numCache>
            </c:numRef>
          </c:val>
        </c:ser>
        <c:gapWidth val="50"/>
        <c:overlap val="0"/>
        <c:axId val="87965418"/>
        <c:axId val="92506982"/>
      </c:barChart>
      <c:catAx>
        <c:axId val="879654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Décile de score (D1 = 10 % les mieux notés)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92506982"/>
        <c:crosses val="autoZero"/>
        <c:auto val="1"/>
        <c:lblAlgn val="ctr"/>
        <c:lblOffset val="100"/>
        <c:noMultiLvlLbl val="0"/>
      </c:catAx>
      <c:valAx>
        <c:axId val="92506982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879654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0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4" min="3" style="0" width="13"/>
  </cols>
  <sheetData>
    <row r="1" customFormat="false" ht="17.35" hidden="false" customHeight="false" outlineLevel="0" collapsed="false">
      <c r="A1" s="1" t="s">
        <v>6</v>
      </c>
    </row>
    <row r="2" customFormat="false" ht="15" hidden="false" customHeight="false" outlineLevel="0" collapsed="false">
      <c r="A2" s="4" t="s">
        <v>7</v>
      </c>
      <c r="D2" s="3" t="s">
        <v>8</v>
      </c>
      <c r="E2" s="5" t="n">
        <f aca="false">SUMPRODUCT(B5:B14,C5:C14)/SUM(C5:C14)</f>
        <v>0.112668000388463</v>
      </c>
    </row>
    <row r="4" customFormat="false" ht="31.5" hidden="false" customHeight="true" outlineLevel="0" collapsed="false">
      <c r="A4" s="6" t="s">
        <v>9</v>
      </c>
      <c r="B4" s="6" t="s">
        <v>10</v>
      </c>
      <c r="C4" s="6" t="s">
        <v>11</v>
      </c>
      <c r="D4" s="6" t="s">
        <v>12</v>
      </c>
    </row>
    <row r="5" customFormat="false" ht="15" hidden="false" customHeight="false" outlineLevel="0" collapsed="false">
      <c r="A5" s="0" t="s">
        <v>13</v>
      </c>
      <c r="B5" s="5" t="n">
        <v>0.532</v>
      </c>
      <c r="C5" s="7" t="n">
        <v>1030</v>
      </c>
      <c r="D5" s="8" t="n">
        <f aca="false">B5/$E$2</f>
        <v>4.72183759510901</v>
      </c>
    </row>
    <row r="6" customFormat="false" ht="15" hidden="false" customHeight="false" outlineLevel="0" collapsed="false">
      <c r="A6" s="0" t="s">
        <v>14</v>
      </c>
      <c r="B6" s="5" t="n">
        <v>0.2175</v>
      </c>
      <c r="C6" s="7" t="n">
        <v>1030</v>
      </c>
      <c r="D6" s="8" t="n">
        <f aca="false">B6/$E$2</f>
        <v>1.93045052055679</v>
      </c>
    </row>
    <row r="7" customFormat="false" ht="15" hidden="false" customHeight="false" outlineLevel="0" collapsed="false">
      <c r="A7" s="0" t="s">
        <v>15</v>
      </c>
      <c r="B7" s="5" t="n">
        <v>0.0797</v>
      </c>
      <c r="C7" s="7" t="n">
        <v>1029</v>
      </c>
      <c r="D7" s="8" t="n">
        <f aca="false">B7/$E$2</f>
        <v>0.707388075808625</v>
      </c>
    </row>
    <row r="8" customFormat="false" ht="15" hidden="false" customHeight="false" outlineLevel="0" collapsed="false">
      <c r="A8" s="0" t="s">
        <v>16</v>
      </c>
      <c r="B8" s="5" t="n">
        <v>0.0661</v>
      </c>
      <c r="C8" s="7" t="n">
        <v>1014</v>
      </c>
      <c r="D8" s="8" t="n">
        <f aca="false">B8/$E$2</f>
        <v>0.586679445557718</v>
      </c>
    </row>
    <row r="9" customFormat="false" ht="15" hidden="false" customHeight="false" outlineLevel="0" collapsed="false">
      <c r="A9" s="0" t="s">
        <v>17</v>
      </c>
      <c r="B9" s="5" t="n">
        <v>0.0517</v>
      </c>
      <c r="C9" s="7" t="n">
        <v>1045</v>
      </c>
      <c r="D9" s="8" t="n">
        <f aca="false">B9/$E$2</f>
        <v>0.458870307644993</v>
      </c>
    </row>
    <row r="10" customFormat="false" ht="15" hidden="false" customHeight="false" outlineLevel="0" collapsed="false">
      <c r="A10" s="0" t="s">
        <v>18</v>
      </c>
      <c r="B10" s="5" t="n">
        <v>0.0447</v>
      </c>
      <c r="C10" s="7" t="n">
        <v>1030</v>
      </c>
      <c r="D10" s="8" t="n">
        <f aca="false">B10/$E$2</f>
        <v>0.396740865604084</v>
      </c>
    </row>
    <row r="11" customFormat="false" ht="15" hidden="false" customHeight="false" outlineLevel="0" collapsed="false">
      <c r="A11" s="0" t="s">
        <v>19</v>
      </c>
      <c r="B11" s="5" t="n">
        <v>0.0379</v>
      </c>
      <c r="C11" s="7" t="n">
        <v>1030</v>
      </c>
      <c r="D11" s="8" t="n">
        <f aca="false">B11/$E$2</f>
        <v>0.336386550478631</v>
      </c>
    </row>
    <row r="12" customFormat="false" ht="15" hidden="false" customHeight="false" outlineLevel="0" collapsed="false">
      <c r="A12" s="0" t="s">
        <v>20</v>
      </c>
      <c r="B12" s="5" t="n">
        <v>0.0364</v>
      </c>
      <c r="C12" s="7" t="n">
        <v>1017</v>
      </c>
      <c r="D12" s="8" t="n">
        <f aca="false">B12/$E$2</f>
        <v>0.323073098612722</v>
      </c>
    </row>
    <row r="13" customFormat="false" ht="15" hidden="false" customHeight="false" outlineLevel="0" collapsed="false">
      <c r="A13" s="0" t="s">
        <v>21</v>
      </c>
      <c r="B13" s="5" t="n">
        <v>0.0347</v>
      </c>
      <c r="C13" s="7" t="n">
        <v>1037</v>
      </c>
      <c r="D13" s="8" t="n">
        <f aca="false">B13/$E$2</f>
        <v>0.307984519831359</v>
      </c>
    </row>
    <row r="14" customFormat="false" ht="15" hidden="false" customHeight="false" outlineLevel="0" collapsed="false">
      <c r="A14" s="0" t="s">
        <v>22</v>
      </c>
      <c r="B14" s="5" t="n">
        <v>0.0261</v>
      </c>
      <c r="C14" s="7" t="n">
        <v>1035</v>
      </c>
      <c r="D14" s="8" t="n">
        <f aca="false">B14/$E$2</f>
        <v>0.231654062466814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23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2026-10-07T19:58:43Z</dcterms:created>
  <dc:creator>openpyxl</dc:creator>
  <dc:description/>
  <dc:language>en-US</dc:language>
  <cp:lastModifiedBy/>
  <dcterms:modified xsi:type="dcterms:W3CDTF">2026-10-07T19:58:45Z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