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uivi" sheetId="2" state="visible" r:id="rId4"/>
    <sheet name="G1 Budget" sheetId="3" state="visible" r:id="rId5"/>
  </sheets>
  <definedNames>
    <definedName function="false" hidden="false" localSheetId="2" name="_xlnm.Print_Area" vbProcedure="false">'G1 Budget'!$A$1:$O$28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<sst xmlns="http://schemas.openxmlformats.org/spreadsheetml/2006/main" count="34" uniqueCount="30">
  <si>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Suivre un projet après l'avoir cadré (semaine 14) · CORRIGÉ</t>
  </si>
  <si>
    <t xml:space="preserve">Corrigé : formules en place, et chaque graphique a son onglet G. Ce sont ces graphiques qui sont sur le site.</t>
  </si>
  <si>
    <t xml:space="preserve">Les onglets</t>
  </si>
  <si>
    <t xml:space="preserve">• Suivi : les 6 jalons, leur statut, le budget prévu et réel.</t>
  </si>
  <si>
    <t xml:space="preserve">• Indicateurs : avancement, retards, écart budgétaire (formules).</t>
  </si>
  <si>
    <t xml:space="preserve">• G1 : budget prévu vs réel.</t>
  </si>
  <si>
    <t xml:space="preserve">Source : dépôt suivi-projet-dashboard-kpi, cas fictif.</t>
  </si>
  <si>
    <t xml:space="preserve">Suivi des jalons à la semaine 14</t>
  </si>
  <si>
    <t xml:space="preserve">Budget réel = dépensé à ce jour.</t>
  </si>
  <si>
    <t xml:space="preserve">Jalon</t>
  </si>
  <si>
    <t xml:space="preserve">Statut</t>
  </si>
  <si>
    <t xml:space="preserve">Budget prévu (€)</t>
  </si>
  <si>
    <t xml:space="preserve">Budget réel (€)</t>
  </si>
  <si>
    <t xml:space="preserve">Écart (€)</t>
  </si>
  <si>
    <t xml:space="preserve">Cadrage validé</t>
  </si>
  <si>
    <t xml:space="preserve">Terminé</t>
  </si>
  <si>
    <t xml:space="preserve">Données consolidées</t>
  </si>
  <si>
    <t xml:space="preserve">Premier modèle</t>
  </si>
  <si>
    <t xml:space="preserve">Validation métier</t>
  </si>
  <si>
    <t xml:space="preserve">En retard</t>
  </si>
  <si>
    <t xml:space="preserve">Intégration CRM</t>
  </si>
  <si>
    <t xml:space="preserve">À venir</t>
  </si>
  <si>
    <t xml:space="preserve">Bilan à 3 mois</t>
  </si>
  <si>
    <t xml:space="preserve">Indicateurs</t>
  </si>
  <si>
    <t xml:space="preserve">Jalons terminés</t>
  </si>
  <si>
    <t xml:space="preserve">Jalons en retard</t>
  </si>
  <si>
    <t xml:space="preserve">Avancement</t>
  </si>
  <si>
    <t xml:space="preserve">Budget prévu des jalons engagés (€)</t>
  </si>
  <si>
    <t xml:space="preserve">Écart budgétaire</t>
  </si>
  <si>
    <t xml:space="preserve">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</si>
</sst>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#,##0;\-#,##0;0"/>
    <numFmt numFmtId="167" formatCode="0"/>
    <numFmt numFmtId="168" formatCode="0%"/>
    <numFmt numFmtId="169" formatCode="\+0.0%;\-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B1F27"/>
      <name val="Calibri"/>
      <family val="2"/>
    </font>
    <font>
      <sz val="10"/>
      <color rgb="FF40404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542B"/>
      <rgbColor rgb="FF666666"/>
      <rgbColor rgb="FF8FA0C2"/>
      <rgbColor rgb="FF1F3864"/>
      <rgbColor rgb="FF339966"/>
      <rgbColor rgb="FF003300"/>
      <rgbColor rgb="FF1B1F27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400" spc="-1" strike="noStrike">
                <a:solidFill>
                  <a:srgbClr val="1b1f27"/>
                </a:solidFill>
                <a:latin typeface="Calibri"/>
              </a:defRPr>
            </a:pPr>
            <a:r>
              <a:rPr b="1" sz="1400" spc="-1" strike="noStrike">
                <a:solidFill>
                  <a:srgbClr val="1b1f27"/>
                </a:solidFill>
                <a:latin typeface="Calibri"/>
              </a:rPr>
              <a:t>Budget prévu et réel par jalon, semaine 14 (orange : dépassement)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Suivi!C4</c:f>
              <c:strCache>
                <c:ptCount val="1"/>
                <c:pt idx="0">
                  <c:v>Budget prévu (€)</c:v>
                </c:pt>
              </c:strCache>
            </c:strRef>
          </c:tx>
          <c:spPr>
            <a:solidFill>
              <a:srgbClr val="8fa0c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Suivi!$A$5:$A$10</c:f>
              <c:strCache>
                <c:ptCount val="6"/>
                <c:pt idx="0">
                  <c:v>Cadrage validé</c:v>
                </c:pt>
                <c:pt idx="1">
                  <c:v>Données consolidées</c:v>
                </c:pt>
                <c:pt idx="2">
                  <c:v>Premier modèle</c:v>
                </c:pt>
                <c:pt idx="3">
                  <c:v>Validation métier</c:v>
                </c:pt>
                <c:pt idx="4">
                  <c:v>Intégration CRM</c:v>
                </c:pt>
                <c:pt idx="5">
                  <c:v>Bilan à 3 mois</c:v>
                </c:pt>
              </c:strCache>
            </c:strRef>
          </c:cat>
          <c:val>
            <c:numRef>
              <c:f>Suivi!$C$5:$C$10</c:f>
              <c:numCache>
                <c:formatCode>#,##0</c:formatCode>
                <c:ptCount val="6"/>
                <c:pt idx="0">
                  <c:v>2000</c:v>
                </c:pt>
                <c:pt idx="1">
                  <c:v>8000</c:v>
                </c:pt>
                <c:pt idx="2">
                  <c:v>10000</c:v>
                </c:pt>
                <c:pt idx="3">
                  <c:v>6000</c:v>
                </c:pt>
                <c:pt idx="4">
                  <c:v>12000</c:v>
                </c:pt>
                <c:pt idx="5">
                  <c:v>2000</c:v>
                </c:pt>
              </c:numCache>
            </c:numRef>
          </c:val>
        </c:ser>
        <c:ser>
          <c:idx val="1"/>
          <c:order val="1"/>
          <c:tx>
            <c:strRef>
              <c:f>Suivi!D4</c:f>
              <c:strCache>
                <c:ptCount val="1"/>
                <c:pt idx="0">
                  <c:v>Budget réel (€)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Pt>
            <c:idx val="1"/>
            <c:invertIfNegative val="0"/>
            <c:spPr>
              <a:solidFill>
                <a:srgbClr val="d9542b"/>
              </a:solidFill>
              <a:ln w="0">
                <a:noFill/>
              </a:ln>
            </c:spP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Suivi!$A$5:$A$10</c:f>
              <c:strCache>
                <c:ptCount val="6"/>
                <c:pt idx="0">
                  <c:v>Cadrage validé</c:v>
                </c:pt>
                <c:pt idx="1">
                  <c:v>Données consolidées</c:v>
                </c:pt>
                <c:pt idx="2">
                  <c:v>Premier modèle</c:v>
                </c:pt>
                <c:pt idx="3">
                  <c:v>Validation métier</c:v>
                </c:pt>
                <c:pt idx="4">
                  <c:v>Intégration CRM</c:v>
                </c:pt>
                <c:pt idx="5">
                  <c:v>Bilan à 3 mois</c:v>
                </c:pt>
              </c:strCache>
            </c:strRef>
          </c:cat>
          <c:val>
            <c:numRef>
              <c:f>Suivi!$D$5:$D$10</c:f>
              <c:numCache>
                <c:formatCode>#,##0</c:formatCode>
                <c:ptCount val="6"/>
                <c:pt idx="0">
                  <c:v>2000</c:v>
                </c:pt>
                <c:pt idx="1">
                  <c:v>9200</c:v>
                </c:pt>
                <c:pt idx="2">
                  <c:v>9800</c:v>
                </c:pt>
                <c:pt idx="3">
                  <c:v>4500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60"/>
        <c:overlap val="0"/>
        <c:axId val="61971473"/>
        <c:axId val="3851408"/>
      </c:barChart>
      <c:catAx>
        <c:axId val="61971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851408"/>
        <c:crosses val="autoZero"/>
        <c:auto val="1"/>
        <c:lblAlgn val="ctr"/>
        <c:lblOffset val="100"/>
        <c:noMultiLvlLbl val="0"/>
      </c:catAx>
      <c:valAx>
        <c:axId val="3851408"/>
        <c:scaling>
          <c:orientation val="minMax"/>
        </c:scaling>
        <c:delete val="0"/>
        <c:axPos val="l"/>
        <c:majorGridlines>
          <c:spPr>
            <a:ln w="9360">
              <a:solidFill>
                <a:srgbClr val="ededed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619714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40404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25</xdr:row>
      <xdr:rowOff>97200</xdr:rowOff>
    </xdr:to>
    <xdr:graphicFrame>
      <xdr:nvGraphicFramePr>
        <xdr:cNvPr id="0" name="Chart 1"/>
        <xdr:cNvGraphicFramePr/>
      </xdr:nvGraphicFramePr>
      <xdr:xfrm>
        <a:off x="0" y="0"/>
        <a:ext cx="8639640" cy="48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4" customFormat="false" ht="31.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6" t="n">
        <v>2000</v>
      </c>
      <c r="D5" s="6" t="n">
        <v>2000</v>
      </c>
      <c r="E5" s="7" t="n">
        <f aca="false">IF(D5=0,0,D5-C5)</f>
        <v>0</v>
      </c>
    </row>
    <row r="6" customFormat="false" ht="15" hidden="false" customHeight="false" outlineLevel="0" collapsed="false">
      <c r="A6" s="0" t="s">
        <v>16</v>
      </c>
      <c r="B6" s="0" t="s">
        <v>15</v>
      </c>
      <c r="C6" s="6" t="n">
        <v>8000</v>
      </c>
      <c r="D6" s="6" t="n">
        <v>9200</v>
      </c>
      <c r="E6" s="7" t="n">
        <f aca="false">IF(D6=0,0,D6-C6)</f>
        <v>1200</v>
      </c>
    </row>
    <row r="7" customFormat="false" ht="15" hidden="false" customHeight="false" outlineLevel="0" collapsed="false">
      <c r="A7" s="0" t="s">
        <v>17</v>
      </c>
      <c r="B7" s="0" t="s">
        <v>15</v>
      </c>
      <c r="C7" s="6" t="n">
        <v>10000</v>
      </c>
      <c r="D7" s="6" t="n">
        <v>9800</v>
      </c>
      <c r="E7" s="7" t="n">
        <f aca="false">IF(D7=0,0,D7-C7)</f>
        <v>-200</v>
      </c>
    </row>
    <row r="8" customFormat="false" ht="15" hidden="false" customHeight="false" outlineLevel="0" collapsed="false">
      <c r="A8" s="0" t="s">
        <v>18</v>
      </c>
      <c r="B8" s="0" t="s">
        <v>19</v>
      </c>
      <c r="C8" s="6" t="n">
        <v>6000</v>
      </c>
      <c r="D8" s="6" t="n">
        <v>4500</v>
      </c>
      <c r="E8" s="7" t="n">
        <f aca="false">IF(D8=0,0,D8-C8)</f>
        <v>-1500</v>
      </c>
    </row>
    <row r="9" customFormat="false" ht="15" hidden="false" customHeight="false" outlineLevel="0" collapsed="false">
      <c r="A9" s="0" t="s">
        <v>20</v>
      </c>
      <c r="B9" s="0" t="s">
        <v>21</v>
      </c>
      <c r="C9" s="6" t="n">
        <v>12000</v>
      </c>
      <c r="D9" s="6" t="n">
        <v>0</v>
      </c>
      <c r="E9" s="7" t="n">
        <f aca="false">IF(D9=0,0,D9-C9)</f>
        <v>0</v>
      </c>
    </row>
    <row r="10" customFormat="false" ht="15" hidden="false" customHeight="false" outlineLevel="0" collapsed="false">
      <c r="A10" s="0" t="s">
        <v>22</v>
      </c>
      <c r="B10" s="0" t="s">
        <v>21</v>
      </c>
      <c r="C10" s="6" t="n">
        <v>2000</v>
      </c>
      <c r="D10" s="6" t="n">
        <v>0</v>
      </c>
      <c r="E10" s="7" t="n">
        <f aca="false">IF(D10=0,0,D10-C10)</f>
        <v>0</v>
      </c>
    </row>
    <row r="13" customFormat="false" ht="15" hidden="false" customHeight="false" outlineLevel="0" collapsed="false">
      <c r="A13" s="8" t="s">
        <v>23</v>
      </c>
    </row>
    <row r="14" customFormat="false" ht="15" hidden="false" customHeight="false" outlineLevel="0" collapsed="false">
      <c r="A14" s="0" t="s">
        <v>24</v>
      </c>
      <c r="E14" s="9" t="n">
        <f aca="false">COUNTIF(B5:B10,"Terminé")</f>
        <v>3</v>
      </c>
    </row>
    <row r="15" customFormat="false" ht="15" hidden="false" customHeight="false" outlineLevel="0" collapsed="false">
      <c r="A15" s="0" t="s">
        <v>25</v>
      </c>
      <c r="E15" s="9" t="n">
        <f aca="false">COUNTIF(B5:B10,"En retard")</f>
        <v>1</v>
      </c>
    </row>
    <row r="16" customFormat="false" ht="15" hidden="false" customHeight="false" outlineLevel="0" collapsed="false">
      <c r="A16" s="0" t="s">
        <v>26</v>
      </c>
      <c r="E16" s="10" t="n">
        <f aca="false">COUNTIF(B5:B10,"Terminé")/COUNTA(B5:B10)</f>
        <v>0.5</v>
      </c>
    </row>
    <row r="17" customFormat="false" ht="15" hidden="false" customHeight="false" outlineLevel="0" collapsed="false">
      <c r="A17" s="0" t="s">
        <v>27</v>
      </c>
      <c r="E17" s="6" t="n">
        <f aca="false">SUMIF(D5:D10,"&gt;0",C5:C10)</f>
        <v>26000</v>
      </c>
    </row>
    <row r="18" customFormat="false" ht="15" hidden="false" customHeight="false" outlineLevel="0" collapsed="false">
      <c r="A18" s="0" t="s">
        <v>12</v>
      </c>
      <c r="E18" s="6" t="n">
        <f aca="false">SUM(D5:D10)</f>
        <v>25500</v>
      </c>
    </row>
    <row r="19" customFormat="false" ht="15" hidden="false" customHeight="false" outlineLevel="0" collapsed="false">
      <c r="A19" s="0" t="s">
        <v>28</v>
      </c>
      <c r="E19" s="11" t="n">
        <f aca="false">E18/E17-1</f>
        <v>-0.0192307692307693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O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8" customFormat="false" ht="15" hidden="false" customHeight="false" outlineLevel="0" collapsed="false">
      <c r="O28" s="0" t="s">
        <v>29</v>
      </c>
    </row>
  </sheetData>
  <printOptions headings="false" gridLines="false" gridLinesSet="true" horizontalCentered="false" verticalCentered="false"/>
  <pageMargins left="0.2" right="0.2" top="0.2" bottom="0.2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2026-10-07T19:59:09Z</dcterms:created>
  <dc:creator>openpyxl</dc:creator>
  <dc:description/>
  <dc:language>en-US</dc:language>
  <cp:lastModifiedBy/>
  <dcterms:modified xsi:type="dcterms:W3CDTF">2026-10-07T19:59:11Z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