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onnees" sheetId="2" state="visible" r:id="rId4"/>
    <sheet name="G1 Prix" sheetId="3" state="visible" r:id="rId5"/>
    <sheet name="G2 Smic" sheetId="4" state="visible" r:id="rId6"/>
  </sheets>
  <definedNames>
    <definedName function="false" hidden="false" localSheetId="2" name="_xlnm.Print_Area" vbProcedure="false">'G1 Prix'!$A$1:$O$28</definedName>
    <definedName function="false" hidden="false" localSheetId="3" name="_xlnm.Print_Area" vbProcedure="false">'G2 Smic'!$A$1:$O$28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<sst xmlns="http://schemas.openxmlformats.org/spreadsheetml/2006/main" count="111" uniqueCount="110">
  <si>
    <t xml:space="preserve">Évolution des prix à la consommation en France · CORRIGÉ</t>
  </si>
  <si>
    <t xml:space="preserve">Corrigé : formules en place, et chaque graphique a son onglet G. Ce sont ces graphiques qui sont sur le site.</t>
  </si>
  <si>
    <t xml:space="preserve">Les onglets</t>
  </si>
  <si>
    <t xml:space="preserve">• Donnees : les indices Insee (base 2025) et le Smic brut, chaque mois depuis janvier 2019.</t>
  </si>
  <si>
    <t xml:space="preserve">• Colonnes F à I : les mêmes indices rebasés à 100 en janvier 2020, et le pouvoir d'achat du Smic.</t>
  </si>
  <si>
    <t xml:space="preserve">• G1, G2 : les graphiques.</t>
  </si>
  <si>
    <t xml:space="preserve">Source : Insee, indices des prix à la consommation (idBank 011814131, 011813717, 011813867) et Smic brut (000879877).</t>
  </si>
  <si>
    <t xml:space="preserve">Prix et Smic, rebasés à 100 en janvier 2020</t>
  </si>
  <si>
    <t xml:space="preserve">Rebaser : diviser chaque valeur par celle de janvier 2020, multiplier par 100.</t>
  </si>
  <si>
    <t xml:space="preserve">Mois</t>
  </si>
  <si>
    <t xml:space="preserve">IPC global</t>
  </si>
  <si>
    <t xml:space="preserve">IPC alimentation</t>
  </si>
  <si>
    <t xml:space="preserve">IPC énergie</t>
  </si>
  <si>
    <t xml:space="preserve">Smic brut (€)</t>
  </si>
  <si>
    <t xml:space="preserve">Global (base 100)</t>
  </si>
  <si>
    <t xml:space="preserve">Alimentation (base 100)</t>
  </si>
  <si>
    <t xml:space="preserve">Énergie (base 100)</t>
  </si>
  <si>
    <t xml:space="preserve">Pouvoir d'achat du Smic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</si>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</sst>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B1F27"/>
      <name val="Calibri"/>
      <family val="2"/>
    </font>
    <font>
      <sz val="10"/>
      <color rgb="FF40404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42B"/>
      <rgbColor rgb="FF666666"/>
      <rgbColor rgb="FF8FA0C2"/>
      <rgbColor rgb="FF1F3864"/>
      <rgbColor rgb="FF339966"/>
      <rgbColor rgb="FF003300"/>
      <rgbColor rgb="FF1B1F2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Prix à la consommation depuis 2019 (base 100 = janvier 2020)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Donnees!F4</c:f>
              <c:strCache>
                <c:ptCount val="1"/>
                <c:pt idx="0">
                  <c:v>Global (base 100)</c:v>
                </c:pt>
              </c:strCache>
            </c:strRef>
          </c:tx>
          <c:spPr>
            <a:solidFill>
              <a:srgbClr val="1f3864"/>
            </a:solidFill>
            <a:ln w="284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Donnees!$A$5:$A$95</c:f>
              <c:strCache>
                <c:ptCount val="91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  <c:pt idx="90">
                  <c:v>2026-07</c:v>
                </c:pt>
              </c:strCache>
            </c:strRef>
          </c:cat>
          <c:val>
            <c:numRef>
              <c:f>Donnees!$F$5:$F$95</c:f>
              <c:numCache>
                <c:formatCode>0.0</c:formatCode>
                <c:ptCount val="91"/>
                <c:pt idx="0">
                  <c:v>98.4914785812989</c:v>
                </c:pt>
                <c:pt idx="1">
                  <c:v>98.5029940119761</c:v>
                </c:pt>
                <c:pt idx="2">
                  <c:v>98.8139106402579</c:v>
                </c:pt>
                <c:pt idx="3">
                  <c:v>99.0672501151543</c:v>
                </c:pt>
                <c:pt idx="4">
                  <c:v>99.032703823123</c:v>
                </c:pt>
                <c:pt idx="5">
                  <c:v>99.2630124366651</c:v>
                </c:pt>
                <c:pt idx="6">
                  <c:v>99.3090741593736</c:v>
                </c:pt>
                <c:pt idx="7">
                  <c:v>99.4472593274989</c:v>
                </c:pt>
                <c:pt idx="8">
                  <c:v>99.5508982035928</c:v>
                </c:pt>
                <c:pt idx="9">
                  <c:v>99.5854444956242</c:v>
                </c:pt>
                <c:pt idx="10">
                  <c:v>99.6890833717181</c:v>
                </c:pt>
                <c:pt idx="11">
                  <c:v>100.103638876094</c:v>
                </c:pt>
                <c:pt idx="12">
                  <c:v>100</c:v>
                </c:pt>
                <c:pt idx="13">
                  <c:v>99.8848456932289</c:v>
                </c:pt>
                <c:pt idx="14">
                  <c:v>99.4702901888531</c:v>
                </c:pt>
                <c:pt idx="15">
                  <c:v>99.3666513127591</c:v>
                </c:pt>
                <c:pt idx="16">
                  <c:v>99.4127130354675</c:v>
                </c:pt>
                <c:pt idx="17">
                  <c:v>99.458774758176</c:v>
                </c:pt>
                <c:pt idx="18">
                  <c:v>100.023030861354</c:v>
                </c:pt>
                <c:pt idx="19">
                  <c:v>99.6315062183326</c:v>
                </c:pt>
                <c:pt idx="20">
                  <c:v>99.6315062183326</c:v>
                </c:pt>
                <c:pt idx="21">
                  <c:v>99.6430216490097</c:v>
                </c:pt>
                <c:pt idx="22">
                  <c:v>99.9078765545831</c:v>
                </c:pt>
                <c:pt idx="23">
                  <c:v>100.149700598802</c:v>
                </c:pt>
                <c:pt idx="24">
                  <c:v>100.59880239521</c:v>
                </c:pt>
                <c:pt idx="25">
                  <c:v>100.391524643022</c:v>
                </c:pt>
                <c:pt idx="26">
                  <c:v>100.587286964532</c:v>
                </c:pt>
                <c:pt idx="27">
                  <c:v>100.575771533855</c:v>
                </c:pt>
                <c:pt idx="28">
                  <c:v>100.829111008752</c:v>
                </c:pt>
                <c:pt idx="29">
                  <c:v>100.909719023491</c:v>
                </c:pt>
                <c:pt idx="30">
                  <c:v>101.105481345002</c:v>
                </c:pt>
                <c:pt idx="31">
                  <c:v>101.416397973284</c:v>
                </c:pt>
                <c:pt idx="32">
                  <c:v>101.819438046983</c:v>
                </c:pt>
                <c:pt idx="33">
                  <c:v>102.257024412713</c:v>
                </c:pt>
                <c:pt idx="34">
                  <c:v>102.729157070474</c:v>
                </c:pt>
                <c:pt idx="35">
                  <c:v>102.970981114694</c:v>
                </c:pt>
                <c:pt idx="36">
                  <c:v>103.535237217872</c:v>
                </c:pt>
                <c:pt idx="37">
                  <c:v>104.007369875633</c:v>
                </c:pt>
                <c:pt idx="38">
                  <c:v>105.112851220636</c:v>
                </c:pt>
                <c:pt idx="39">
                  <c:v>105.377706126209</c:v>
                </c:pt>
                <c:pt idx="40">
                  <c:v>106.068631966836</c:v>
                </c:pt>
                <c:pt idx="41">
                  <c:v>106.80561953017</c:v>
                </c:pt>
                <c:pt idx="42">
                  <c:v>107.185628742515</c:v>
                </c:pt>
                <c:pt idx="43">
                  <c:v>107.335329341317</c:v>
                </c:pt>
                <c:pt idx="44">
                  <c:v>107.519576232151</c:v>
                </c:pt>
                <c:pt idx="45">
                  <c:v>108.613542146476</c:v>
                </c:pt>
                <c:pt idx="46">
                  <c:v>109.097190234915</c:v>
                </c:pt>
                <c:pt idx="47">
                  <c:v>109.062643942883</c:v>
                </c:pt>
                <c:pt idx="48">
                  <c:v>109.776600644864</c:v>
                </c:pt>
                <c:pt idx="49">
                  <c:v>110.502072777522</c:v>
                </c:pt>
                <c:pt idx="50">
                  <c:v>111.123906034086</c:v>
                </c:pt>
                <c:pt idx="51">
                  <c:v>111.526946107784</c:v>
                </c:pt>
                <c:pt idx="52">
                  <c:v>111.515430677107</c:v>
                </c:pt>
                <c:pt idx="53">
                  <c:v>111.642100414556</c:v>
                </c:pt>
                <c:pt idx="54">
                  <c:v>111.722708429295</c:v>
                </c:pt>
                <c:pt idx="55">
                  <c:v>112.471211423307</c:v>
                </c:pt>
                <c:pt idx="56">
                  <c:v>112.839705204975</c:v>
                </c:pt>
                <c:pt idx="57">
                  <c:v>112.931828650392</c:v>
                </c:pt>
                <c:pt idx="58">
                  <c:v>112.943344081069</c:v>
                </c:pt>
                <c:pt idx="59">
                  <c:v>113.139106402579</c:v>
                </c:pt>
                <c:pt idx="60">
                  <c:v>113.242745278673</c:v>
                </c:pt>
                <c:pt idx="61">
                  <c:v>113.760939659143</c:v>
                </c:pt>
                <c:pt idx="62">
                  <c:v>113.703362505758</c:v>
                </c:pt>
                <c:pt idx="63">
                  <c:v>113.922155688623</c:v>
                </c:pt>
                <c:pt idx="64">
                  <c:v>114.071856287425</c:v>
                </c:pt>
                <c:pt idx="65">
                  <c:v>114.048825426071</c:v>
                </c:pt>
                <c:pt idx="66">
                  <c:v>114.244587747582</c:v>
                </c:pt>
                <c:pt idx="67">
                  <c:v>114.440350069093</c:v>
                </c:pt>
                <c:pt idx="68">
                  <c:v>114.094887148779</c:v>
                </c:pt>
                <c:pt idx="69">
                  <c:v>114.336711192999</c:v>
                </c:pt>
                <c:pt idx="70">
                  <c:v>114.417319207738</c:v>
                </c:pt>
                <c:pt idx="71">
                  <c:v>114.647627821281</c:v>
                </c:pt>
                <c:pt idx="72">
                  <c:v>115.119760479042</c:v>
                </c:pt>
                <c:pt idx="73">
                  <c:v>114.659143251958</c:v>
                </c:pt>
                <c:pt idx="74">
                  <c:v>114.601566098572</c:v>
                </c:pt>
                <c:pt idx="75">
                  <c:v>114.843390142791</c:v>
                </c:pt>
                <c:pt idx="76">
                  <c:v>114.843390142791</c:v>
                </c:pt>
                <c:pt idx="77">
                  <c:v>115.16582220175</c:v>
                </c:pt>
                <c:pt idx="78">
                  <c:v>115.350069092584</c:v>
                </c:pt>
                <c:pt idx="79">
                  <c:v>115.384615384615</c:v>
                </c:pt>
                <c:pt idx="80">
                  <c:v>115.430677107324</c:v>
                </c:pt>
                <c:pt idx="81">
                  <c:v>115.419161676647</c:v>
                </c:pt>
                <c:pt idx="82">
                  <c:v>115.488254260709</c:v>
                </c:pt>
                <c:pt idx="83">
                  <c:v>115.557346844772</c:v>
                </c:pt>
                <c:pt idx="84">
                  <c:v>115.453707968678</c:v>
                </c:pt>
                <c:pt idx="85">
                  <c:v>115.68401658222</c:v>
                </c:pt>
                <c:pt idx="86">
                  <c:v>116.55918931368</c:v>
                </c:pt>
                <c:pt idx="87">
                  <c:v>117.319207738369</c:v>
                </c:pt>
                <c:pt idx="88">
                  <c:v>117.641639797328</c:v>
                </c:pt>
                <c:pt idx="89">
                  <c:v>117.204053431598</c:v>
                </c:pt>
                <c:pt idx="90">
                  <c:v>117.768309534777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Donnees!G4</c:f>
              <c:strCache>
                <c:ptCount val="1"/>
                <c:pt idx="0">
                  <c:v>Alimentation (base 100)</c:v>
                </c:pt>
              </c:strCache>
            </c:strRef>
          </c:tx>
          <c:spPr>
            <a:solidFill>
              <a:srgbClr val="8fa0c2"/>
            </a:solidFill>
            <a:ln w="28440">
              <a:solidFill>
                <a:srgbClr val="8fa0c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Donnees!$A$5:$A$95</c:f>
              <c:strCache>
                <c:ptCount val="91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  <c:pt idx="90">
                  <c:v>2026-07</c:v>
                </c:pt>
              </c:strCache>
            </c:strRef>
          </c:cat>
          <c:val>
            <c:numRef>
              <c:f>Donnees!$G$5:$G$95</c:f>
              <c:numCache>
                <c:formatCode>0.0</c:formatCode>
                <c:ptCount val="91"/>
                <c:pt idx="0">
                  <c:v>98.0633147113594</c:v>
                </c:pt>
                <c:pt idx="1">
                  <c:v>98.2247051520795</c:v>
                </c:pt>
                <c:pt idx="2">
                  <c:v>98.0384854127871</c:v>
                </c:pt>
                <c:pt idx="3">
                  <c:v>98.1005586592179</c:v>
                </c:pt>
                <c:pt idx="4">
                  <c:v>98.7709497206704</c:v>
                </c:pt>
                <c:pt idx="5">
                  <c:v>98.8702669149597</c:v>
                </c:pt>
                <c:pt idx="6">
                  <c:v>99.3916821849783</c:v>
                </c:pt>
                <c:pt idx="7">
                  <c:v>99.8510242085661</c:v>
                </c:pt>
                <c:pt idx="8">
                  <c:v>99.3544382371198</c:v>
                </c:pt>
                <c:pt idx="9">
                  <c:v>98.9199255121043</c:v>
                </c:pt>
                <c:pt idx="10">
                  <c:v>99.0316573556797</c:v>
                </c:pt>
                <c:pt idx="11">
                  <c:v>99.5903165735568</c:v>
                </c:pt>
                <c:pt idx="12">
                  <c:v>100</c:v>
                </c:pt>
                <c:pt idx="13">
                  <c:v>99.9751707014277</c:v>
                </c:pt>
                <c:pt idx="14">
                  <c:v>99.9255121042831</c:v>
                </c:pt>
                <c:pt idx="15">
                  <c:v>101.725636250776</c:v>
                </c:pt>
                <c:pt idx="16">
                  <c:v>102.234636871508</c:v>
                </c:pt>
                <c:pt idx="17">
                  <c:v>101.440099317194</c:v>
                </c:pt>
                <c:pt idx="18">
                  <c:v>100.496585971446</c:v>
                </c:pt>
                <c:pt idx="19">
                  <c:v>100.720049658597</c:v>
                </c:pt>
                <c:pt idx="20">
                  <c:v>100.235878336437</c:v>
                </c:pt>
                <c:pt idx="21">
                  <c:v>100.397268777157</c:v>
                </c:pt>
                <c:pt idx="22">
                  <c:v>101.030415890751</c:v>
                </c:pt>
                <c:pt idx="23">
                  <c:v>100.633147113594</c:v>
                </c:pt>
                <c:pt idx="24">
                  <c:v>101.018001241465</c:v>
                </c:pt>
                <c:pt idx="25">
                  <c:v>100.819366852886</c:v>
                </c:pt>
                <c:pt idx="26">
                  <c:v>100.869025450031</c:v>
                </c:pt>
                <c:pt idx="27">
                  <c:v>101.427684667908</c:v>
                </c:pt>
                <c:pt idx="28">
                  <c:v>101.961514587213</c:v>
                </c:pt>
                <c:pt idx="29">
                  <c:v>101.241464928616</c:v>
                </c:pt>
                <c:pt idx="30">
                  <c:v>101.365611421477</c:v>
                </c:pt>
                <c:pt idx="31">
                  <c:v>102.023587833644</c:v>
                </c:pt>
                <c:pt idx="32">
                  <c:v>101.241464928616</c:v>
                </c:pt>
                <c:pt idx="33">
                  <c:v>101.080074487896</c:v>
                </c:pt>
                <c:pt idx="34">
                  <c:v>101.489757914339</c:v>
                </c:pt>
                <c:pt idx="35">
                  <c:v>101.998758535071</c:v>
                </c:pt>
                <c:pt idx="36">
                  <c:v>102.569832402235</c:v>
                </c:pt>
                <c:pt idx="37">
                  <c:v>102.929857231533</c:v>
                </c:pt>
                <c:pt idx="38">
                  <c:v>103.836126629423</c:v>
                </c:pt>
                <c:pt idx="39">
                  <c:v>105.325884543762</c:v>
                </c:pt>
                <c:pt idx="40">
                  <c:v>106.33147113594</c:v>
                </c:pt>
                <c:pt idx="41">
                  <c:v>107.163252638113</c:v>
                </c:pt>
                <c:pt idx="42">
                  <c:v>108.230912476723</c:v>
                </c:pt>
                <c:pt idx="43">
                  <c:v>110.043451272502</c:v>
                </c:pt>
                <c:pt idx="44">
                  <c:v>111.260086902545</c:v>
                </c:pt>
                <c:pt idx="45">
                  <c:v>113.196772191186</c:v>
                </c:pt>
                <c:pt idx="46">
                  <c:v>113.780260707635</c:v>
                </c:pt>
                <c:pt idx="47">
                  <c:v>114.31409062694</c:v>
                </c:pt>
                <c:pt idx="48">
                  <c:v>116.25077591558</c:v>
                </c:pt>
                <c:pt idx="49">
                  <c:v>118.212290502793</c:v>
                </c:pt>
                <c:pt idx="50">
                  <c:v>120.360024829299</c:v>
                </c:pt>
                <c:pt idx="51">
                  <c:v>121.080074487896</c:v>
                </c:pt>
                <c:pt idx="52">
                  <c:v>121.489757914339</c:v>
                </c:pt>
                <c:pt idx="53">
                  <c:v>121.812538795779</c:v>
                </c:pt>
                <c:pt idx="54">
                  <c:v>121.924270639354</c:v>
                </c:pt>
                <c:pt idx="55">
                  <c:v>122.346368715084</c:v>
                </c:pt>
                <c:pt idx="56">
                  <c:v>122.011173184358</c:v>
                </c:pt>
                <c:pt idx="57">
                  <c:v>122.048417132216</c:v>
                </c:pt>
                <c:pt idx="58">
                  <c:v>122.52017380509</c:v>
                </c:pt>
                <c:pt idx="59">
                  <c:v>122.557417752948</c:v>
                </c:pt>
                <c:pt idx="60">
                  <c:v>122.84295468653</c:v>
                </c:pt>
                <c:pt idx="61">
                  <c:v>122.433271260087</c:v>
                </c:pt>
                <c:pt idx="62">
                  <c:v>122.433271260087</c:v>
                </c:pt>
                <c:pt idx="63">
                  <c:v>122.545003103662</c:v>
                </c:pt>
                <c:pt idx="64">
                  <c:v>123.029174425822</c:v>
                </c:pt>
                <c:pt idx="65">
                  <c:v>122.805710738672</c:v>
                </c:pt>
                <c:pt idx="66">
                  <c:v>122.557417752948</c:v>
                </c:pt>
                <c:pt idx="67">
                  <c:v>122.954686530106</c:v>
                </c:pt>
                <c:pt idx="68">
                  <c:v>122.557417752948</c:v>
                </c:pt>
                <c:pt idx="69">
                  <c:v>122.805710738672</c:v>
                </c:pt>
                <c:pt idx="70">
                  <c:v>122.756052141527</c:v>
                </c:pt>
                <c:pt idx="71">
                  <c:v>122.582247051521</c:v>
                </c:pt>
                <c:pt idx="72">
                  <c:v>122.942271880819</c:v>
                </c:pt>
                <c:pt idx="73">
                  <c:v>122.855369335816</c:v>
                </c:pt>
                <c:pt idx="74">
                  <c:v>123.178150217256</c:v>
                </c:pt>
                <c:pt idx="75">
                  <c:v>124.07200496586</c:v>
                </c:pt>
                <c:pt idx="76">
                  <c:v>124.630664183737</c:v>
                </c:pt>
                <c:pt idx="77">
                  <c:v>124.481688392303</c:v>
                </c:pt>
                <c:pt idx="78">
                  <c:v>124.543761638734</c:v>
                </c:pt>
                <c:pt idx="79">
                  <c:v>124.916201117318</c:v>
                </c:pt>
                <c:pt idx="80">
                  <c:v>124.667908131595</c:v>
                </c:pt>
                <c:pt idx="81">
                  <c:v>124.3947858473</c:v>
                </c:pt>
                <c:pt idx="82">
                  <c:v>124.419615145872</c:v>
                </c:pt>
                <c:pt idx="83">
                  <c:v>124.630664183737</c:v>
                </c:pt>
                <c:pt idx="84">
                  <c:v>125.226567349472</c:v>
                </c:pt>
                <c:pt idx="85">
                  <c:v>125.263811297331</c:v>
                </c:pt>
                <c:pt idx="86">
                  <c:v>125.375543140906</c:v>
                </c:pt>
                <c:pt idx="87">
                  <c:v>125.611421477343</c:v>
                </c:pt>
                <c:pt idx="88">
                  <c:v>125.996275605214</c:v>
                </c:pt>
                <c:pt idx="89">
                  <c:v>125.561762880199</c:v>
                </c:pt>
                <c:pt idx="90">
                  <c:v>125.747982619491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Donnees!H4</c:f>
              <c:strCache>
                <c:ptCount val="1"/>
                <c:pt idx="0">
                  <c:v>Énergie (base 100)</c:v>
                </c:pt>
              </c:strCache>
            </c:strRef>
          </c:tx>
          <c:spPr>
            <a:solidFill>
              <a:srgbClr val="d9542b"/>
            </a:solidFill>
            <a:ln w="28440">
              <a:solidFill>
                <a:srgbClr val="d954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Donnees!$A$5:$A$95</c:f>
              <c:strCache>
                <c:ptCount val="91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  <c:pt idx="90">
                  <c:v>2026-07</c:v>
                </c:pt>
              </c:strCache>
            </c:strRef>
          </c:cat>
          <c:val>
            <c:numRef>
              <c:f>Donnees!$H$5:$H$95</c:f>
              <c:numCache>
                <c:formatCode>0.0</c:formatCode>
                <c:ptCount val="91"/>
                <c:pt idx="0">
                  <c:v>95.8098411071245</c:v>
                </c:pt>
                <c:pt idx="1">
                  <c:v>97.1040492055356</c:v>
                </c:pt>
                <c:pt idx="2">
                  <c:v>98.1547924141466</c:v>
                </c:pt>
                <c:pt idx="3">
                  <c:v>98.7570476678626</c:v>
                </c:pt>
                <c:pt idx="4">
                  <c:v>99.3208610968734</c:v>
                </c:pt>
                <c:pt idx="5">
                  <c:v>99.1414659149154</c:v>
                </c:pt>
                <c:pt idx="6">
                  <c:v>98.1163505894413</c:v>
                </c:pt>
                <c:pt idx="7">
                  <c:v>98.0650948231676</c:v>
                </c:pt>
                <c:pt idx="8">
                  <c:v>98.436699128652</c:v>
                </c:pt>
                <c:pt idx="9">
                  <c:v>98.4238851870835</c:v>
                </c:pt>
                <c:pt idx="10">
                  <c:v>98.6929779600205</c:v>
                </c:pt>
                <c:pt idx="11">
                  <c:v>99.5002562788314</c:v>
                </c:pt>
                <c:pt idx="12">
                  <c:v>100</c:v>
                </c:pt>
                <c:pt idx="13">
                  <c:v>98.0138390568939</c:v>
                </c:pt>
                <c:pt idx="14">
                  <c:v>94.1440287032291</c:v>
                </c:pt>
                <c:pt idx="15">
                  <c:v>90.2870322911328</c:v>
                </c:pt>
                <c:pt idx="16">
                  <c:v>88.4802665299846</c:v>
                </c:pt>
                <c:pt idx="17">
                  <c:v>90.0435674013326</c:v>
                </c:pt>
                <c:pt idx="18">
                  <c:v>90.8764736032804</c:v>
                </c:pt>
                <c:pt idx="19">
                  <c:v>91.1583803177857</c:v>
                </c:pt>
                <c:pt idx="20">
                  <c:v>90.5304971809329</c:v>
                </c:pt>
                <c:pt idx="21">
                  <c:v>90.773962070733</c:v>
                </c:pt>
                <c:pt idx="22">
                  <c:v>91.0686827268067</c:v>
                </c:pt>
                <c:pt idx="23">
                  <c:v>92.6319835981548</c:v>
                </c:pt>
                <c:pt idx="24">
                  <c:v>94.169656586366</c:v>
                </c:pt>
                <c:pt idx="25">
                  <c:v>96.514607893388</c:v>
                </c:pt>
                <c:pt idx="26">
                  <c:v>98.6160943106099</c:v>
                </c:pt>
                <c:pt idx="27">
                  <c:v>98.0907227063045</c:v>
                </c:pt>
                <c:pt idx="28">
                  <c:v>98.6673500768836</c:v>
                </c:pt>
                <c:pt idx="29">
                  <c:v>99.7693490517683</c:v>
                </c:pt>
                <c:pt idx="30">
                  <c:v>102.024602767811</c:v>
                </c:pt>
                <c:pt idx="31">
                  <c:v>102.652485904664</c:v>
                </c:pt>
                <c:pt idx="32">
                  <c:v>104.062019477191</c:v>
                </c:pt>
                <c:pt idx="33">
                  <c:v>109.149154279856</c:v>
                </c:pt>
                <c:pt idx="34">
                  <c:v>110.712455151205</c:v>
                </c:pt>
                <c:pt idx="35">
                  <c:v>109.661711942594</c:v>
                </c:pt>
                <c:pt idx="36">
                  <c:v>112.929267042542</c:v>
                </c:pt>
                <c:pt idx="37">
                  <c:v>116.952844695028</c:v>
                </c:pt>
                <c:pt idx="38">
                  <c:v>127.601230138391</c:v>
                </c:pt>
                <c:pt idx="39">
                  <c:v>124.256791389031</c:v>
                </c:pt>
                <c:pt idx="40">
                  <c:v>126.281394156843</c:v>
                </c:pt>
                <c:pt idx="41">
                  <c:v>132.957457713993</c:v>
                </c:pt>
                <c:pt idx="42">
                  <c:v>131.112250128139</c:v>
                </c:pt>
                <c:pt idx="43">
                  <c:v>126.063557150179</c:v>
                </c:pt>
                <c:pt idx="44">
                  <c:v>122.898513582778</c:v>
                </c:pt>
                <c:pt idx="45">
                  <c:v>130.202460276781</c:v>
                </c:pt>
                <c:pt idx="46">
                  <c:v>131.291645310097</c:v>
                </c:pt>
                <c:pt idx="47">
                  <c:v>126.396719630958</c:v>
                </c:pt>
                <c:pt idx="48">
                  <c:v>131.471040492055</c:v>
                </c:pt>
                <c:pt idx="49">
                  <c:v>133.495643259867</c:v>
                </c:pt>
                <c:pt idx="50">
                  <c:v>133.867247565351</c:v>
                </c:pt>
                <c:pt idx="51">
                  <c:v>132.854946181445</c:v>
                </c:pt>
                <c:pt idx="52">
                  <c:v>128.844182470528</c:v>
                </c:pt>
                <c:pt idx="53">
                  <c:v>129.023577652486</c:v>
                </c:pt>
                <c:pt idx="54">
                  <c:v>126.396719630958</c:v>
                </c:pt>
                <c:pt idx="55">
                  <c:v>134.802665299846</c:v>
                </c:pt>
                <c:pt idx="56">
                  <c:v>137.416709379805</c:v>
                </c:pt>
                <c:pt idx="57">
                  <c:v>136.635058944131</c:v>
                </c:pt>
                <c:pt idx="58">
                  <c:v>135.161455663762</c:v>
                </c:pt>
                <c:pt idx="59">
                  <c:v>133.585340850846</c:v>
                </c:pt>
                <c:pt idx="60">
                  <c:v>133.854433623783</c:v>
                </c:pt>
                <c:pt idx="61">
                  <c:v>139.261916965659</c:v>
                </c:pt>
                <c:pt idx="62">
                  <c:v>138.211173757048</c:v>
                </c:pt>
                <c:pt idx="63">
                  <c:v>137.775499743721</c:v>
                </c:pt>
                <c:pt idx="64">
                  <c:v>136.109687339826</c:v>
                </c:pt>
                <c:pt idx="65">
                  <c:v>135.084572014352</c:v>
                </c:pt>
                <c:pt idx="66">
                  <c:v>137.057919015889</c:v>
                </c:pt>
                <c:pt idx="67">
                  <c:v>135.225525371604</c:v>
                </c:pt>
                <c:pt idx="68">
                  <c:v>132.752434648898</c:v>
                </c:pt>
                <c:pt idx="69">
                  <c:v>133.944131214762</c:v>
                </c:pt>
                <c:pt idx="70">
                  <c:v>134.251665812404</c:v>
                </c:pt>
                <c:pt idx="71">
                  <c:v>135.225525371604</c:v>
                </c:pt>
                <c:pt idx="72">
                  <c:v>137.467965146079</c:v>
                </c:pt>
                <c:pt idx="73">
                  <c:v>131.112250128139</c:v>
                </c:pt>
                <c:pt idx="74">
                  <c:v>129.138903126602</c:v>
                </c:pt>
                <c:pt idx="75">
                  <c:v>127.063044592517</c:v>
                </c:pt>
                <c:pt idx="76">
                  <c:v>125.269092772937</c:v>
                </c:pt>
                <c:pt idx="77">
                  <c:v>126.089185033316</c:v>
                </c:pt>
                <c:pt idx="78">
                  <c:v>127.152742183496</c:v>
                </c:pt>
                <c:pt idx="79">
                  <c:v>126.922091235264</c:v>
                </c:pt>
                <c:pt idx="80">
                  <c:v>126.934905176832</c:v>
                </c:pt>
                <c:pt idx="81">
                  <c:v>126.396719630958</c:v>
                </c:pt>
                <c:pt idx="82">
                  <c:v>128.152229625833</c:v>
                </c:pt>
                <c:pt idx="83">
                  <c:v>125.961045617632</c:v>
                </c:pt>
                <c:pt idx="84">
                  <c:v>127.075858534085</c:v>
                </c:pt>
                <c:pt idx="85">
                  <c:v>127.447462839569</c:v>
                </c:pt>
                <c:pt idx="86">
                  <c:v>139.018452075859</c:v>
                </c:pt>
                <c:pt idx="87">
                  <c:v>145.297283444388</c:v>
                </c:pt>
                <c:pt idx="88">
                  <c:v>146.027678113788</c:v>
                </c:pt>
                <c:pt idx="89">
                  <c:v>139.838544336238</c:v>
                </c:pt>
                <c:pt idx="90">
                  <c:v>143.311122501281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026209"/>
        <c:axId val="43924424"/>
      </c:lineChart>
      <c:catAx>
        <c:axId val="330262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3924424"/>
        <c:crosses val="autoZero"/>
        <c:auto val="1"/>
        <c:lblAlgn val="ctr"/>
        <c:lblOffset val="100"/>
        <c:noMultiLvlLbl val="0"/>
      </c:catAx>
      <c:valAx>
        <c:axId val="43924424"/>
        <c:scaling>
          <c:orientation val="minMax"/>
          <c:min val="80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30262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40404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Pouvoir d'achat du Smic (base 100 = janvier 2020)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Donnees!I4</c:f>
              <c:strCache>
                <c:ptCount val="1"/>
                <c:pt idx="0">
                  <c:v>Pouvoir d'achat du Smic</c:v>
                </c:pt>
              </c:strCache>
            </c:strRef>
          </c:tx>
          <c:spPr>
            <a:solidFill>
              <a:srgbClr val="d9542b"/>
            </a:solidFill>
            <a:ln w="31680">
              <a:solidFill>
                <a:srgbClr val="d954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Donnees!$A$5:$A$95</c:f>
              <c:strCache>
                <c:ptCount val="91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  <c:pt idx="72">
                  <c:v>2025-01</c:v>
                </c:pt>
                <c:pt idx="73">
                  <c:v>2025-02</c:v>
                </c:pt>
                <c:pt idx="74">
                  <c:v>2025-03</c:v>
                </c:pt>
                <c:pt idx="75">
                  <c:v>2025-04</c:v>
                </c:pt>
                <c:pt idx="76">
                  <c:v>2025-05</c:v>
                </c:pt>
                <c:pt idx="77">
                  <c:v>2025-06</c:v>
                </c:pt>
                <c:pt idx="78">
                  <c:v>2025-07</c:v>
                </c:pt>
                <c:pt idx="79">
                  <c:v>2025-08</c:v>
                </c:pt>
                <c:pt idx="80">
                  <c:v>2025-09</c:v>
                </c:pt>
                <c:pt idx="81">
                  <c:v>2025-10</c:v>
                </c:pt>
                <c:pt idx="82">
                  <c:v>2025-11</c:v>
                </c:pt>
                <c:pt idx="83">
                  <c:v>2025-12</c:v>
                </c:pt>
                <c:pt idx="84">
                  <c:v>2026-01</c:v>
                </c:pt>
                <c:pt idx="85">
                  <c:v>2026-02</c:v>
                </c:pt>
                <c:pt idx="86">
                  <c:v>2026-03</c:v>
                </c:pt>
                <c:pt idx="87">
                  <c:v>2026-04</c:v>
                </c:pt>
                <c:pt idx="88">
                  <c:v>2026-05</c:v>
                </c:pt>
                <c:pt idx="89">
                  <c:v>2026-06</c:v>
                </c:pt>
                <c:pt idx="90">
                  <c:v>2026-07</c:v>
                </c:pt>
              </c:strCache>
            </c:strRef>
          </c:cat>
          <c:val>
            <c:numRef>
              <c:f>Donnees!$I$5:$I$95</c:f>
              <c:numCache>
                <c:formatCode>0.0</c:formatCode>
                <c:ptCount val="91"/>
                <c:pt idx="0">
                  <c:v>100.331255021784</c:v>
                </c:pt>
                <c:pt idx="1">
                  <c:v>100.319525859402</c:v>
                </c:pt>
                <c:pt idx="2">
                  <c:v>100.003871833274</c:v>
                </c:pt>
                <c:pt idx="3">
                  <c:v>99.7481371848567</c:v>
                </c:pt>
                <c:pt idx="4">
                  <c:v>99.7829330466654</c:v>
                </c:pt>
                <c:pt idx="5">
                  <c:v>99.5514181208031</c:v>
                </c:pt>
                <c:pt idx="6">
                  <c:v>99.5052439936599</c:v>
                </c:pt>
                <c:pt idx="7">
                  <c:v>99.3669782539744</c:v>
                </c:pt>
                <c:pt idx="8">
                  <c:v>99.2635308503554</c:v>
                </c:pt>
                <c:pt idx="9">
                  <c:v>99.2290962304952</c:v>
                </c:pt>
                <c:pt idx="10">
                  <c:v>99.1259355667463</c:v>
                </c:pt>
                <c:pt idx="11">
                  <c:v>98.7154289889937</c:v>
                </c:pt>
                <c:pt idx="12">
                  <c:v>100</c:v>
                </c:pt>
                <c:pt idx="13">
                  <c:v>100.115287064791</c:v>
                </c:pt>
                <c:pt idx="14">
                  <c:v>100.532530678398</c:v>
                </c:pt>
                <c:pt idx="15">
                  <c:v>100.63738556032</c:v>
                </c:pt>
                <c:pt idx="16">
                  <c:v>100.590756399861</c:v>
                </c:pt>
                <c:pt idx="17">
                  <c:v>100.544170429547</c:v>
                </c:pt>
                <c:pt idx="18">
                  <c:v>99.9769744416302</c:v>
                </c:pt>
                <c:pt idx="19">
                  <c:v>100.369856680536</c:v>
                </c:pt>
                <c:pt idx="20">
                  <c:v>100.369856680536</c:v>
                </c:pt>
                <c:pt idx="21">
                  <c:v>100.35825725182</c:v>
                </c:pt>
                <c:pt idx="22">
                  <c:v>100.092208390964</c:v>
                </c:pt>
                <c:pt idx="23">
                  <c:v>99.8505231689088</c:v>
                </c:pt>
                <c:pt idx="24">
                  <c:v>100.383686558512</c:v>
                </c:pt>
                <c:pt idx="25">
                  <c:v>100.590948127456</c:v>
                </c:pt>
                <c:pt idx="26">
                  <c:v>100.395178680614</c:v>
                </c:pt>
                <c:pt idx="27">
                  <c:v>100.406673434298</c:v>
                </c:pt>
                <c:pt idx="28">
                  <c:v>100.154395360343</c:v>
                </c:pt>
                <c:pt idx="29">
                  <c:v>100.074390708109</c:v>
                </c:pt>
                <c:pt idx="30">
                  <c:v>99.8806248035492</c:v>
                </c:pt>
                <c:pt idx="31">
                  <c:v>99.574416461356</c:v>
                </c:pt>
                <c:pt idx="32">
                  <c:v>99.1802630372271</c:v>
                </c:pt>
                <c:pt idx="33">
                  <c:v>100.972256018735</c:v>
                </c:pt>
                <c:pt idx="34">
                  <c:v>100.50819789781</c:v>
                </c:pt>
                <c:pt idx="35">
                  <c:v>100.272157620931</c:v>
                </c:pt>
                <c:pt idx="36">
                  <c:v>100.582106027736</c:v>
                </c:pt>
                <c:pt idx="37">
                  <c:v>100.125522065475</c:v>
                </c:pt>
                <c:pt idx="38">
                  <c:v>99.0724929114122</c:v>
                </c:pt>
                <c:pt idx="39">
                  <c:v>98.8234854437079</c:v>
                </c:pt>
                <c:pt idx="40">
                  <c:v>100.780128625399</c:v>
                </c:pt>
                <c:pt idx="41">
                  <c:v>100.084718573428</c:v>
                </c:pt>
                <c:pt idx="42">
                  <c:v>99.7298844830844</c:v>
                </c:pt>
                <c:pt idx="43">
                  <c:v>101.610349471944</c:v>
                </c:pt>
                <c:pt idx="44">
                  <c:v>101.436228706008</c:v>
                </c:pt>
                <c:pt idx="45">
                  <c:v>100.414553374469</c:v>
                </c:pt>
                <c:pt idx="46">
                  <c:v>99.9693970263872</c:v>
                </c:pt>
                <c:pt idx="47">
                  <c:v>100.001062974131</c:v>
                </c:pt>
                <c:pt idx="48">
                  <c:v>101.145440057057</c:v>
                </c:pt>
                <c:pt idx="49">
                  <c:v>100.481396421834</c:v>
                </c:pt>
                <c:pt idx="50">
                  <c:v>99.9191171050695</c:v>
                </c:pt>
                <c:pt idx="51">
                  <c:v>99.558025819713</c:v>
                </c:pt>
                <c:pt idx="52">
                  <c:v>101.777207421833</c:v>
                </c:pt>
                <c:pt idx="53">
                  <c:v>101.661730445903</c:v>
                </c:pt>
                <c:pt idx="54">
                  <c:v>101.588381434038</c:v>
                </c:pt>
                <c:pt idx="55">
                  <c:v>100.912304358865</c:v>
                </c:pt>
                <c:pt idx="56">
                  <c:v>100.582761166755</c:v>
                </c:pt>
                <c:pt idx="57">
                  <c:v>100.500711397271</c:v>
                </c:pt>
                <c:pt idx="58">
                  <c:v>100.490464587381</c:v>
                </c:pt>
                <c:pt idx="59">
                  <c:v>100.316587956543</c:v>
                </c:pt>
                <c:pt idx="60">
                  <c:v>101.355978999742</c:v>
                </c:pt>
                <c:pt idx="61">
                  <c:v>100.894290665398</c:v>
                </c:pt>
                <c:pt idx="62">
                  <c:v>100.945381555952</c:v>
                </c:pt>
                <c:pt idx="63">
                  <c:v>100.751510915139</c:v>
                </c:pt>
                <c:pt idx="64">
                  <c:v>100.619291084541</c:v>
                </c:pt>
                <c:pt idx="65">
                  <c:v>100.639610004389</c:v>
                </c:pt>
                <c:pt idx="66">
                  <c:v>100.467160314834</c:v>
                </c:pt>
                <c:pt idx="67">
                  <c:v>100.295300612142</c:v>
                </c:pt>
                <c:pt idx="68">
                  <c:v>100.59898036773</c:v>
                </c:pt>
                <c:pt idx="69">
                  <c:v>100.3862118525</c:v>
                </c:pt>
                <c:pt idx="70">
                  <c:v>102.295773356387</c:v>
                </c:pt>
                <c:pt idx="71">
                  <c:v>102.090277628472</c:v>
                </c:pt>
                <c:pt idx="72">
                  <c:v>101.671581881471</c:v>
                </c:pt>
                <c:pt idx="73">
                  <c:v>102.080024512309</c:v>
                </c:pt>
                <c:pt idx="74">
                  <c:v>102.131310698258</c:v>
                </c:pt>
                <c:pt idx="75">
                  <c:v>101.916254293499</c:v>
                </c:pt>
                <c:pt idx="76">
                  <c:v>101.916254293499</c:v>
                </c:pt>
                <c:pt idx="77">
                  <c:v>101.630917315175</c:v>
                </c:pt>
                <c:pt idx="78">
                  <c:v>101.468583814422</c:v>
                </c:pt>
                <c:pt idx="79">
                  <c:v>101.438203998909</c:v>
                </c:pt>
                <c:pt idx="80">
                  <c:v>101.397725864831</c:v>
                </c:pt>
                <c:pt idx="81">
                  <c:v>101.407842369457</c:v>
                </c:pt>
                <c:pt idx="82">
                  <c:v>101.347173603456</c:v>
                </c:pt>
                <c:pt idx="83">
                  <c:v>101.286577386055</c:v>
                </c:pt>
                <c:pt idx="84">
                  <c:v>102.571995691767</c:v>
                </c:pt>
                <c:pt idx="85">
                  <c:v>102.367791041773</c:v>
                </c:pt>
                <c:pt idx="86">
                  <c:v>101.599172970327</c:v>
                </c:pt>
                <c:pt idx="87">
                  <c:v>100.940992226703</c:v>
                </c:pt>
                <c:pt idx="88">
                  <c:v>100.664333281681</c:v>
                </c:pt>
                <c:pt idx="89">
                  <c:v>103.478283000216</c:v>
                </c:pt>
                <c:pt idx="90">
                  <c:v>102.98249382773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316527"/>
        <c:axId val="37048333"/>
      </c:lineChart>
      <c:catAx>
        <c:axId val="293165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7048333"/>
        <c:crosses val="autoZero"/>
        <c:auto val="1"/>
        <c:lblAlgn val="ctr"/>
        <c:lblOffset val="100"/>
        <c:noMultiLvlLbl val="0"/>
      </c:catAx>
      <c:valAx>
        <c:axId val="37048333"/>
        <c:scaling>
          <c:orientation val="minMax"/>
          <c:max val="106"/>
          <c:min val="96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293165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0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1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9"/>
    <col collapsed="false" customWidth="true" hidden="false" outlineLevel="0" max="7" min="7" style="0" width="25"/>
    <col collapsed="false" customWidth="true" hidden="false" outlineLevel="0" max="8" min="8" style="0" width="20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4" t="s">
        <v>8</v>
      </c>
    </row>
    <row r="4" customFormat="false" ht="31.5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</row>
    <row r="5" customFormat="false" ht="15" hidden="false" customHeight="false" outlineLevel="0" collapsed="false">
      <c r="A5" s="0" t="s">
        <v>18</v>
      </c>
      <c r="B5" s="6" t="n">
        <v>85.53</v>
      </c>
      <c r="C5" s="6" t="n">
        <v>78.99</v>
      </c>
      <c r="D5" s="6" t="n">
        <v>74.77</v>
      </c>
      <c r="E5" s="6" t="n">
        <v>1521.22</v>
      </c>
      <c r="F5" s="7" t="n">
        <f aca="false">B5/B$17*100</f>
        <v>98.4914785812989</v>
      </c>
      <c r="G5" s="7" t="n">
        <f aca="false">C5/C$17*100</f>
        <v>98.0633147113594</v>
      </c>
      <c r="H5" s="7" t="n">
        <f aca="false">D5/D$17*100</f>
        <v>95.8098411071245</v>
      </c>
      <c r="I5" s="7" t="n">
        <f aca="false">(E5/E$17)/(B5/B$17)*100</f>
        <v>100.331255021784</v>
      </c>
    </row>
    <row r="6" customFormat="false" ht="15" hidden="false" customHeight="false" outlineLevel="0" collapsed="false">
      <c r="A6" s="0" t="s">
        <v>19</v>
      </c>
      <c r="B6" s="6" t="n">
        <v>85.54</v>
      </c>
      <c r="C6" s="6" t="n">
        <v>79.12</v>
      </c>
      <c r="D6" s="6" t="n">
        <v>75.78</v>
      </c>
      <c r="E6" s="6" t="n">
        <v>1521.22</v>
      </c>
      <c r="F6" s="7" t="n">
        <f aca="false">B6/B$17*100</f>
        <v>98.5029940119761</v>
      </c>
      <c r="G6" s="7" t="n">
        <f aca="false">C6/C$17*100</f>
        <v>98.2247051520795</v>
      </c>
      <c r="H6" s="7" t="n">
        <f aca="false">D6/D$17*100</f>
        <v>97.1040492055356</v>
      </c>
      <c r="I6" s="7" t="n">
        <f aca="false">(E6/E$17)/(B6/B$17)*100</f>
        <v>100.319525859402</v>
      </c>
    </row>
    <row r="7" customFormat="false" ht="15" hidden="false" customHeight="false" outlineLevel="0" collapsed="false">
      <c r="A7" s="0" t="s">
        <v>20</v>
      </c>
      <c r="B7" s="6" t="n">
        <v>85.81</v>
      </c>
      <c r="C7" s="6" t="n">
        <v>78.97</v>
      </c>
      <c r="D7" s="6" t="n">
        <v>76.6</v>
      </c>
      <c r="E7" s="6" t="n">
        <v>1521.22</v>
      </c>
      <c r="F7" s="7" t="n">
        <f aca="false">B7/B$17*100</f>
        <v>98.8139106402579</v>
      </c>
      <c r="G7" s="7" t="n">
        <f aca="false">C7/C$17*100</f>
        <v>98.0384854127871</v>
      </c>
      <c r="H7" s="7" t="n">
        <f aca="false">D7/D$17*100</f>
        <v>98.1547924141466</v>
      </c>
      <c r="I7" s="7" t="n">
        <f aca="false">(E7/E$17)/(B7/B$17)*100</f>
        <v>100.003871833274</v>
      </c>
    </row>
    <row r="8" customFormat="false" ht="15" hidden="false" customHeight="false" outlineLevel="0" collapsed="false">
      <c r="A8" s="0" t="s">
        <v>21</v>
      </c>
      <c r="B8" s="6" t="n">
        <v>86.03</v>
      </c>
      <c r="C8" s="6" t="n">
        <v>79.02</v>
      </c>
      <c r="D8" s="6" t="n">
        <v>77.07</v>
      </c>
      <c r="E8" s="6" t="n">
        <v>1521.22</v>
      </c>
      <c r="F8" s="7" t="n">
        <f aca="false">B8/B$17*100</f>
        <v>99.0672501151543</v>
      </c>
      <c r="G8" s="7" t="n">
        <f aca="false">C8/C$17*100</f>
        <v>98.1005586592179</v>
      </c>
      <c r="H8" s="7" t="n">
        <f aca="false">D8/D$17*100</f>
        <v>98.7570476678626</v>
      </c>
      <c r="I8" s="7" t="n">
        <f aca="false">(E8/E$17)/(B8/B$17)*100</f>
        <v>99.7481371848567</v>
      </c>
    </row>
    <row r="9" customFormat="false" ht="15" hidden="false" customHeight="false" outlineLevel="0" collapsed="false">
      <c r="A9" s="0" t="s">
        <v>22</v>
      </c>
      <c r="B9" s="6" t="n">
        <v>86</v>
      </c>
      <c r="C9" s="6" t="n">
        <v>79.56</v>
      </c>
      <c r="D9" s="6" t="n">
        <v>77.51</v>
      </c>
      <c r="E9" s="6" t="n">
        <v>1521.22</v>
      </c>
      <c r="F9" s="7" t="n">
        <f aca="false">B9/B$17*100</f>
        <v>99.032703823123</v>
      </c>
      <c r="G9" s="7" t="n">
        <f aca="false">C9/C$17*100</f>
        <v>98.7709497206704</v>
      </c>
      <c r="H9" s="7" t="n">
        <f aca="false">D9/D$17*100</f>
        <v>99.3208610968734</v>
      </c>
      <c r="I9" s="7" t="n">
        <f aca="false">(E9/E$17)/(B9/B$17)*100</f>
        <v>99.7829330466654</v>
      </c>
    </row>
    <row r="10" customFormat="false" ht="15" hidden="false" customHeight="false" outlineLevel="0" collapsed="false">
      <c r="A10" s="0" t="s">
        <v>23</v>
      </c>
      <c r="B10" s="6" t="n">
        <v>86.2</v>
      </c>
      <c r="C10" s="6" t="n">
        <v>79.64</v>
      </c>
      <c r="D10" s="6" t="n">
        <v>77.37</v>
      </c>
      <c r="E10" s="6" t="n">
        <v>1521.22</v>
      </c>
      <c r="F10" s="7" t="n">
        <f aca="false">B10/B$17*100</f>
        <v>99.2630124366651</v>
      </c>
      <c r="G10" s="7" t="n">
        <f aca="false">C10/C$17*100</f>
        <v>98.8702669149597</v>
      </c>
      <c r="H10" s="7" t="n">
        <f aca="false">D10/D$17*100</f>
        <v>99.1414659149154</v>
      </c>
      <c r="I10" s="7" t="n">
        <f aca="false">(E10/E$17)/(B10/B$17)*100</f>
        <v>99.5514181208031</v>
      </c>
    </row>
    <row r="11" customFormat="false" ht="15" hidden="false" customHeight="false" outlineLevel="0" collapsed="false">
      <c r="A11" s="0" t="s">
        <v>24</v>
      </c>
      <c r="B11" s="6" t="n">
        <v>86.24</v>
      </c>
      <c r="C11" s="6" t="n">
        <v>80.06</v>
      </c>
      <c r="D11" s="6" t="n">
        <v>76.57</v>
      </c>
      <c r="E11" s="6" t="n">
        <v>1521.22</v>
      </c>
      <c r="F11" s="7" t="n">
        <f aca="false">B11/B$17*100</f>
        <v>99.3090741593736</v>
      </c>
      <c r="G11" s="7" t="n">
        <f aca="false">C11/C$17*100</f>
        <v>99.3916821849783</v>
      </c>
      <c r="H11" s="7" t="n">
        <f aca="false">D11/D$17*100</f>
        <v>98.1163505894413</v>
      </c>
      <c r="I11" s="7" t="n">
        <f aca="false">(E11/E$17)/(B11/B$17)*100</f>
        <v>99.5052439936599</v>
      </c>
    </row>
    <row r="12" customFormat="false" ht="15" hidden="false" customHeight="false" outlineLevel="0" collapsed="false">
      <c r="A12" s="0" t="s">
        <v>25</v>
      </c>
      <c r="B12" s="6" t="n">
        <v>86.36</v>
      </c>
      <c r="C12" s="6" t="n">
        <v>80.43</v>
      </c>
      <c r="D12" s="6" t="n">
        <v>76.53</v>
      </c>
      <c r="E12" s="6" t="n">
        <v>1521.22</v>
      </c>
      <c r="F12" s="7" t="n">
        <f aca="false">B12/B$17*100</f>
        <v>99.4472593274989</v>
      </c>
      <c r="G12" s="7" t="n">
        <f aca="false">C12/C$17*100</f>
        <v>99.8510242085661</v>
      </c>
      <c r="H12" s="7" t="n">
        <f aca="false">D12/D$17*100</f>
        <v>98.0650948231676</v>
      </c>
      <c r="I12" s="7" t="n">
        <f aca="false">(E12/E$17)/(B12/B$17)*100</f>
        <v>99.3669782539744</v>
      </c>
    </row>
    <row r="13" customFormat="false" ht="15" hidden="false" customHeight="false" outlineLevel="0" collapsed="false">
      <c r="A13" s="0" t="s">
        <v>26</v>
      </c>
      <c r="B13" s="6" t="n">
        <v>86.45</v>
      </c>
      <c r="C13" s="6" t="n">
        <v>80.03</v>
      </c>
      <c r="D13" s="6" t="n">
        <v>76.82</v>
      </c>
      <c r="E13" s="6" t="n">
        <v>1521.22</v>
      </c>
      <c r="F13" s="7" t="n">
        <f aca="false">B13/B$17*100</f>
        <v>99.5508982035928</v>
      </c>
      <c r="G13" s="7" t="n">
        <f aca="false">C13/C$17*100</f>
        <v>99.3544382371198</v>
      </c>
      <c r="H13" s="7" t="n">
        <f aca="false">D13/D$17*100</f>
        <v>98.436699128652</v>
      </c>
      <c r="I13" s="7" t="n">
        <f aca="false">(E13/E$17)/(B13/B$17)*100</f>
        <v>99.2635308503554</v>
      </c>
    </row>
    <row r="14" customFormat="false" ht="15" hidden="false" customHeight="false" outlineLevel="0" collapsed="false">
      <c r="A14" s="0" t="s">
        <v>27</v>
      </c>
      <c r="B14" s="6" t="n">
        <v>86.48</v>
      </c>
      <c r="C14" s="6" t="n">
        <v>79.68</v>
      </c>
      <c r="D14" s="6" t="n">
        <v>76.81</v>
      </c>
      <c r="E14" s="6" t="n">
        <v>1521.22</v>
      </c>
      <c r="F14" s="7" t="n">
        <f aca="false">B14/B$17*100</f>
        <v>99.5854444956242</v>
      </c>
      <c r="G14" s="7" t="n">
        <f aca="false">C14/C$17*100</f>
        <v>98.9199255121043</v>
      </c>
      <c r="H14" s="7" t="n">
        <f aca="false">D14/D$17*100</f>
        <v>98.4238851870835</v>
      </c>
      <c r="I14" s="7" t="n">
        <f aca="false">(E14/E$17)/(B14/B$17)*100</f>
        <v>99.2290962304952</v>
      </c>
    </row>
    <row r="15" customFormat="false" ht="15" hidden="false" customHeight="false" outlineLevel="0" collapsed="false">
      <c r="A15" s="0" t="s">
        <v>28</v>
      </c>
      <c r="B15" s="6" t="n">
        <v>86.57</v>
      </c>
      <c r="C15" s="6" t="n">
        <v>79.77</v>
      </c>
      <c r="D15" s="6" t="n">
        <v>77.02</v>
      </c>
      <c r="E15" s="6" t="n">
        <v>1521.22</v>
      </c>
      <c r="F15" s="7" t="n">
        <f aca="false">B15/B$17*100</f>
        <v>99.6890833717181</v>
      </c>
      <c r="G15" s="7" t="n">
        <f aca="false">C15/C$17*100</f>
        <v>99.0316573556797</v>
      </c>
      <c r="H15" s="7" t="n">
        <f aca="false">D15/D$17*100</f>
        <v>98.6929779600205</v>
      </c>
      <c r="I15" s="7" t="n">
        <f aca="false">(E15/E$17)/(B15/B$17)*100</f>
        <v>99.1259355667463</v>
      </c>
    </row>
    <row r="16" customFormat="false" ht="15" hidden="false" customHeight="false" outlineLevel="0" collapsed="false">
      <c r="A16" s="0" t="s">
        <v>29</v>
      </c>
      <c r="B16" s="6" t="n">
        <v>86.93</v>
      </c>
      <c r="C16" s="6" t="n">
        <v>80.22</v>
      </c>
      <c r="D16" s="6" t="n">
        <v>77.65</v>
      </c>
      <c r="E16" s="6" t="n">
        <v>1521.22</v>
      </c>
      <c r="F16" s="7" t="n">
        <f aca="false">B16/B$17*100</f>
        <v>100.103638876094</v>
      </c>
      <c r="G16" s="7" t="n">
        <f aca="false">C16/C$17*100</f>
        <v>99.5903165735568</v>
      </c>
      <c r="H16" s="7" t="n">
        <f aca="false">D16/D$17*100</f>
        <v>99.5002562788314</v>
      </c>
      <c r="I16" s="7" t="n">
        <f aca="false">(E16/E$17)/(B16/B$17)*100</f>
        <v>98.7154289889937</v>
      </c>
    </row>
    <row r="17" customFormat="false" ht="15" hidden="false" customHeight="false" outlineLevel="0" collapsed="false">
      <c r="A17" s="8" t="s">
        <v>30</v>
      </c>
      <c r="B17" s="6" t="n">
        <v>86.84</v>
      </c>
      <c r="C17" s="6" t="n">
        <v>80.55</v>
      </c>
      <c r="D17" s="6" t="n">
        <v>78.04</v>
      </c>
      <c r="E17" s="6" t="n">
        <v>1539.42</v>
      </c>
      <c r="F17" s="7" t="n">
        <f aca="false">B17/B$17*100</f>
        <v>100</v>
      </c>
      <c r="G17" s="7" t="n">
        <f aca="false">C17/C$17*100</f>
        <v>100</v>
      </c>
      <c r="H17" s="7" t="n">
        <f aca="false">D17/D$17*100</f>
        <v>100</v>
      </c>
      <c r="I17" s="7" t="n">
        <f aca="false">(E17/E$17)/(B17/B$17)*100</f>
        <v>100</v>
      </c>
    </row>
    <row r="18" customFormat="false" ht="15" hidden="false" customHeight="false" outlineLevel="0" collapsed="false">
      <c r="A18" s="0" t="s">
        <v>31</v>
      </c>
      <c r="B18" s="6" t="n">
        <v>86.74</v>
      </c>
      <c r="C18" s="6" t="n">
        <v>80.53</v>
      </c>
      <c r="D18" s="6" t="n">
        <v>76.49</v>
      </c>
      <c r="E18" s="6" t="n">
        <v>1539.42</v>
      </c>
      <c r="F18" s="7" t="n">
        <f aca="false">B18/B$17*100</f>
        <v>99.8848456932289</v>
      </c>
      <c r="G18" s="7" t="n">
        <f aca="false">C18/C$17*100</f>
        <v>99.9751707014277</v>
      </c>
      <c r="H18" s="7" t="n">
        <f aca="false">D18/D$17*100</f>
        <v>98.0138390568939</v>
      </c>
      <c r="I18" s="7" t="n">
        <f aca="false">(E18/E$17)/(B18/B$17)*100</f>
        <v>100.115287064791</v>
      </c>
    </row>
    <row r="19" customFormat="false" ht="15" hidden="false" customHeight="false" outlineLevel="0" collapsed="false">
      <c r="A19" s="0" t="s">
        <v>32</v>
      </c>
      <c r="B19" s="6" t="n">
        <v>86.38</v>
      </c>
      <c r="C19" s="6" t="n">
        <v>80.49</v>
      </c>
      <c r="D19" s="6" t="n">
        <v>73.47</v>
      </c>
      <c r="E19" s="6" t="n">
        <v>1539.42</v>
      </c>
      <c r="F19" s="7" t="n">
        <f aca="false">B19/B$17*100</f>
        <v>99.4702901888531</v>
      </c>
      <c r="G19" s="7" t="n">
        <f aca="false">C19/C$17*100</f>
        <v>99.9255121042831</v>
      </c>
      <c r="H19" s="7" t="n">
        <f aca="false">D19/D$17*100</f>
        <v>94.1440287032291</v>
      </c>
      <c r="I19" s="7" t="n">
        <f aca="false">(E19/E$17)/(B19/B$17)*100</f>
        <v>100.532530678398</v>
      </c>
    </row>
    <row r="20" customFormat="false" ht="15" hidden="false" customHeight="false" outlineLevel="0" collapsed="false">
      <c r="A20" s="0" t="s">
        <v>33</v>
      </c>
      <c r="B20" s="6" t="n">
        <v>86.29</v>
      </c>
      <c r="C20" s="6" t="n">
        <v>81.94</v>
      </c>
      <c r="D20" s="6" t="n">
        <v>70.46</v>
      </c>
      <c r="E20" s="6" t="n">
        <v>1539.42</v>
      </c>
      <c r="F20" s="7" t="n">
        <f aca="false">B20/B$17*100</f>
        <v>99.3666513127591</v>
      </c>
      <c r="G20" s="7" t="n">
        <f aca="false">C20/C$17*100</f>
        <v>101.725636250776</v>
      </c>
      <c r="H20" s="7" t="n">
        <f aca="false">D20/D$17*100</f>
        <v>90.2870322911328</v>
      </c>
      <c r="I20" s="7" t="n">
        <f aca="false">(E20/E$17)/(B20/B$17)*100</f>
        <v>100.63738556032</v>
      </c>
    </row>
    <row r="21" customFormat="false" ht="15" hidden="false" customHeight="false" outlineLevel="0" collapsed="false">
      <c r="A21" s="0" t="s">
        <v>34</v>
      </c>
      <c r="B21" s="6" t="n">
        <v>86.33</v>
      </c>
      <c r="C21" s="6" t="n">
        <v>82.35</v>
      </c>
      <c r="D21" s="6" t="n">
        <v>69.05</v>
      </c>
      <c r="E21" s="6" t="n">
        <v>1539.42</v>
      </c>
      <c r="F21" s="7" t="n">
        <f aca="false">B21/B$17*100</f>
        <v>99.4127130354675</v>
      </c>
      <c r="G21" s="7" t="n">
        <f aca="false">C21/C$17*100</f>
        <v>102.234636871508</v>
      </c>
      <c r="H21" s="7" t="n">
        <f aca="false">D21/D$17*100</f>
        <v>88.4802665299846</v>
      </c>
      <c r="I21" s="7" t="n">
        <f aca="false">(E21/E$17)/(B21/B$17)*100</f>
        <v>100.590756399861</v>
      </c>
    </row>
    <row r="22" customFormat="false" ht="15" hidden="false" customHeight="false" outlineLevel="0" collapsed="false">
      <c r="A22" s="0" t="s">
        <v>35</v>
      </c>
      <c r="B22" s="6" t="n">
        <v>86.37</v>
      </c>
      <c r="C22" s="6" t="n">
        <v>81.71</v>
      </c>
      <c r="D22" s="6" t="n">
        <v>70.27</v>
      </c>
      <c r="E22" s="6" t="n">
        <v>1539.42</v>
      </c>
      <c r="F22" s="7" t="n">
        <f aca="false">B22/B$17*100</f>
        <v>99.458774758176</v>
      </c>
      <c r="G22" s="7" t="n">
        <f aca="false">C22/C$17*100</f>
        <v>101.440099317194</v>
      </c>
      <c r="H22" s="7" t="n">
        <f aca="false">D22/D$17*100</f>
        <v>90.0435674013326</v>
      </c>
      <c r="I22" s="7" t="n">
        <f aca="false">(E22/E$17)/(B22/B$17)*100</f>
        <v>100.544170429547</v>
      </c>
    </row>
    <row r="23" customFormat="false" ht="15" hidden="false" customHeight="false" outlineLevel="0" collapsed="false">
      <c r="A23" s="0" t="s">
        <v>36</v>
      </c>
      <c r="B23" s="6" t="n">
        <v>86.86</v>
      </c>
      <c r="C23" s="6" t="n">
        <v>80.95</v>
      </c>
      <c r="D23" s="6" t="n">
        <v>70.92</v>
      </c>
      <c r="E23" s="6" t="n">
        <v>1539.42</v>
      </c>
      <c r="F23" s="7" t="n">
        <f aca="false">B23/B$17*100</f>
        <v>100.023030861354</v>
      </c>
      <c r="G23" s="7" t="n">
        <f aca="false">C23/C$17*100</f>
        <v>100.496585971446</v>
      </c>
      <c r="H23" s="7" t="n">
        <f aca="false">D23/D$17*100</f>
        <v>90.8764736032804</v>
      </c>
      <c r="I23" s="7" t="n">
        <f aca="false">(E23/E$17)/(B23/B$17)*100</f>
        <v>99.9769744416302</v>
      </c>
    </row>
    <row r="24" customFormat="false" ht="15" hidden="false" customHeight="false" outlineLevel="0" collapsed="false">
      <c r="A24" s="0" t="s">
        <v>37</v>
      </c>
      <c r="B24" s="6" t="n">
        <v>86.52</v>
      </c>
      <c r="C24" s="6" t="n">
        <v>81.13</v>
      </c>
      <c r="D24" s="6" t="n">
        <v>71.14</v>
      </c>
      <c r="E24" s="6" t="n">
        <v>1539.42</v>
      </c>
      <c r="F24" s="7" t="n">
        <f aca="false">B24/B$17*100</f>
        <v>99.6315062183326</v>
      </c>
      <c r="G24" s="7" t="n">
        <f aca="false">C24/C$17*100</f>
        <v>100.720049658597</v>
      </c>
      <c r="H24" s="7" t="n">
        <f aca="false">D24/D$17*100</f>
        <v>91.1583803177857</v>
      </c>
      <c r="I24" s="7" t="n">
        <f aca="false">(E24/E$17)/(B24/B$17)*100</f>
        <v>100.369856680536</v>
      </c>
    </row>
    <row r="25" customFormat="false" ht="15" hidden="false" customHeight="false" outlineLevel="0" collapsed="false">
      <c r="A25" s="0" t="s">
        <v>38</v>
      </c>
      <c r="B25" s="6" t="n">
        <v>86.52</v>
      </c>
      <c r="C25" s="6" t="n">
        <v>80.74</v>
      </c>
      <c r="D25" s="6" t="n">
        <v>70.65</v>
      </c>
      <c r="E25" s="6" t="n">
        <v>1539.42</v>
      </c>
      <c r="F25" s="7" t="n">
        <f aca="false">B25/B$17*100</f>
        <v>99.6315062183326</v>
      </c>
      <c r="G25" s="7" t="n">
        <f aca="false">C25/C$17*100</f>
        <v>100.235878336437</v>
      </c>
      <c r="H25" s="7" t="n">
        <f aca="false">D25/D$17*100</f>
        <v>90.5304971809329</v>
      </c>
      <c r="I25" s="7" t="n">
        <f aca="false">(E25/E$17)/(B25/B$17)*100</f>
        <v>100.369856680536</v>
      </c>
    </row>
    <row r="26" customFormat="false" ht="15" hidden="false" customHeight="false" outlineLevel="0" collapsed="false">
      <c r="A26" s="0" t="s">
        <v>39</v>
      </c>
      <c r="B26" s="6" t="n">
        <v>86.53</v>
      </c>
      <c r="C26" s="6" t="n">
        <v>80.87</v>
      </c>
      <c r="D26" s="6" t="n">
        <v>70.84</v>
      </c>
      <c r="E26" s="6" t="n">
        <v>1539.42</v>
      </c>
      <c r="F26" s="7" t="n">
        <f aca="false">B26/B$17*100</f>
        <v>99.6430216490097</v>
      </c>
      <c r="G26" s="7" t="n">
        <f aca="false">C26/C$17*100</f>
        <v>100.397268777157</v>
      </c>
      <c r="H26" s="7" t="n">
        <f aca="false">D26/D$17*100</f>
        <v>90.773962070733</v>
      </c>
      <c r="I26" s="7" t="n">
        <f aca="false">(E26/E$17)/(B26/B$17)*100</f>
        <v>100.35825725182</v>
      </c>
    </row>
    <row r="27" customFormat="false" ht="15" hidden="false" customHeight="false" outlineLevel="0" collapsed="false">
      <c r="A27" s="0" t="s">
        <v>40</v>
      </c>
      <c r="B27" s="6" t="n">
        <v>86.76</v>
      </c>
      <c r="C27" s="6" t="n">
        <v>81.38</v>
      </c>
      <c r="D27" s="6" t="n">
        <v>71.07</v>
      </c>
      <c r="E27" s="6" t="n">
        <v>1539.42</v>
      </c>
      <c r="F27" s="7" t="n">
        <f aca="false">B27/B$17*100</f>
        <v>99.9078765545831</v>
      </c>
      <c r="G27" s="7" t="n">
        <f aca="false">C27/C$17*100</f>
        <v>101.030415890751</v>
      </c>
      <c r="H27" s="7" t="n">
        <f aca="false">D27/D$17*100</f>
        <v>91.0686827268067</v>
      </c>
      <c r="I27" s="7" t="n">
        <f aca="false">(E27/E$17)/(B27/B$17)*100</f>
        <v>100.092208390964</v>
      </c>
    </row>
    <row r="28" customFormat="false" ht="15" hidden="false" customHeight="false" outlineLevel="0" collapsed="false">
      <c r="A28" s="0" t="s">
        <v>41</v>
      </c>
      <c r="B28" s="6" t="n">
        <v>86.97</v>
      </c>
      <c r="C28" s="6" t="n">
        <v>81.06</v>
      </c>
      <c r="D28" s="6" t="n">
        <v>72.29</v>
      </c>
      <c r="E28" s="6" t="n">
        <v>1539.42</v>
      </c>
      <c r="F28" s="7" t="n">
        <f aca="false">B28/B$17*100</f>
        <v>100.149700598802</v>
      </c>
      <c r="G28" s="7" t="n">
        <f aca="false">C28/C$17*100</f>
        <v>100.633147113594</v>
      </c>
      <c r="H28" s="7" t="n">
        <f aca="false">D28/D$17*100</f>
        <v>92.6319835981548</v>
      </c>
      <c r="I28" s="7" t="n">
        <f aca="false">(E28/E$17)/(B28/B$17)*100</f>
        <v>99.8505231689088</v>
      </c>
    </row>
    <row r="29" customFormat="false" ht="15" hidden="false" customHeight="false" outlineLevel="0" collapsed="false">
      <c r="A29" s="0" t="s">
        <v>42</v>
      </c>
      <c r="B29" s="6" t="n">
        <v>87.36</v>
      </c>
      <c r="C29" s="6" t="n">
        <v>81.37</v>
      </c>
      <c r="D29" s="6" t="n">
        <v>73.49</v>
      </c>
      <c r="E29" s="6" t="n">
        <v>1554.58</v>
      </c>
      <c r="F29" s="7" t="n">
        <f aca="false">B29/B$17*100</f>
        <v>100.59880239521</v>
      </c>
      <c r="G29" s="7" t="n">
        <f aca="false">C29/C$17*100</f>
        <v>101.018001241465</v>
      </c>
      <c r="H29" s="7" t="n">
        <f aca="false">D29/D$17*100</f>
        <v>94.169656586366</v>
      </c>
      <c r="I29" s="7" t="n">
        <f aca="false">(E29/E$17)/(B29/B$17)*100</f>
        <v>100.383686558512</v>
      </c>
    </row>
    <row r="30" customFormat="false" ht="15" hidden="false" customHeight="false" outlineLevel="0" collapsed="false">
      <c r="A30" s="0" t="s">
        <v>43</v>
      </c>
      <c r="B30" s="6" t="n">
        <v>87.18</v>
      </c>
      <c r="C30" s="6" t="n">
        <v>81.21</v>
      </c>
      <c r="D30" s="6" t="n">
        <v>75.32</v>
      </c>
      <c r="E30" s="6" t="n">
        <v>1554.58</v>
      </c>
      <c r="F30" s="7" t="n">
        <f aca="false">B30/B$17*100</f>
        <v>100.391524643022</v>
      </c>
      <c r="G30" s="7" t="n">
        <f aca="false">C30/C$17*100</f>
        <v>100.819366852886</v>
      </c>
      <c r="H30" s="7" t="n">
        <f aca="false">D30/D$17*100</f>
        <v>96.514607893388</v>
      </c>
      <c r="I30" s="7" t="n">
        <f aca="false">(E30/E$17)/(B30/B$17)*100</f>
        <v>100.590948127456</v>
      </c>
    </row>
    <row r="31" customFormat="false" ht="15" hidden="false" customHeight="false" outlineLevel="0" collapsed="false">
      <c r="A31" s="0" t="s">
        <v>44</v>
      </c>
      <c r="B31" s="6" t="n">
        <v>87.35</v>
      </c>
      <c r="C31" s="6" t="n">
        <v>81.25</v>
      </c>
      <c r="D31" s="6" t="n">
        <v>76.96</v>
      </c>
      <c r="E31" s="6" t="n">
        <v>1554.58</v>
      </c>
      <c r="F31" s="7" t="n">
        <f aca="false">B31/B$17*100</f>
        <v>100.587286964532</v>
      </c>
      <c r="G31" s="7" t="n">
        <f aca="false">C31/C$17*100</f>
        <v>100.869025450031</v>
      </c>
      <c r="H31" s="7" t="n">
        <f aca="false">D31/D$17*100</f>
        <v>98.6160943106099</v>
      </c>
      <c r="I31" s="7" t="n">
        <f aca="false">(E31/E$17)/(B31/B$17)*100</f>
        <v>100.395178680614</v>
      </c>
    </row>
    <row r="32" customFormat="false" ht="15" hidden="false" customHeight="false" outlineLevel="0" collapsed="false">
      <c r="A32" s="0" t="s">
        <v>45</v>
      </c>
      <c r="B32" s="6" t="n">
        <v>87.34</v>
      </c>
      <c r="C32" s="6" t="n">
        <v>81.7</v>
      </c>
      <c r="D32" s="6" t="n">
        <v>76.55</v>
      </c>
      <c r="E32" s="6" t="n">
        <v>1554.58</v>
      </c>
      <c r="F32" s="7" t="n">
        <f aca="false">B32/B$17*100</f>
        <v>100.575771533855</v>
      </c>
      <c r="G32" s="7" t="n">
        <f aca="false">C32/C$17*100</f>
        <v>101.427684667908</v>
      </c>
      <c r="H32" s="7" t="n">
        <f aca="false">D32/D$17*100</f>
        <v>98.0907227063045</v>
      </c>
      <c r="I32" s="7" t="n">
        <f aca="false">(E32/E$17)/(B32/B$17)*100</f>
        <v>100.406673434298</v>
      </c>
    </row>
    <row r="33" customFormat="false" ht="15" hidden="false" customHeight="false" outlineLevel="0" collapsed="false">
      <c r="A33" s="0" t="s">
        <v>46</v>
      </c>
      <c r="B33" s="6" t="n">
        <v>87.56</v>
      </c>
      <c r="C33" s="6" t="n">
        <v>82.13</v>
      </c>
      <c r="D33" s="6" t="n">
        <v>77</v>
      </c>
      <c r="E33" s="6" t="n">
        <v>1554.58</v>
      </c>
      <c r="F33" s="7" t="n">
        <f aca="false">B33/B$17*100</f>
        <v>100.829111008752</v>
      </c>
      <c r="G33" s="7" t="n">
        <f aca="false">C33/C$17*100</f>
        <v>101.961514587213</v>
      </c>
      <c r="H33" s="7" t="n">
        <f aca="false">D33/D$17*100</f>
        <v>98.6673500768836</v>
      </c>
      <c r="I33" s="7" t="n">
        <f aca="false">(E33/E$17)/(B33/B$17)*100</f>
        <v>100.154395360343</v>
      </c>
    </row>
    <row r="34" customFormat="false" ht="15" hidden="false" customHeight="false" outlineLevel="0" collapsed="false">
      <c r="A34" s="0" t="s">
        <v>47</v>
      </c>
      <c r="B34" s="6" t="n">
        <v>87.63</v>
      </c>
      <c r="C34" s="6" t="n">
        <v>81.55</v>
      </c>
      <c r="D34" s="6" t="n">
        <v>77.86</v>
      </c>
      <c r="E34" s="6" t="n">
        <v>1554.58</v>
      </c>
      <c r="F34" s="7" t="n">
        <f aca="false">B34/B$17*100</f>
        <v>100.909719023491</v>
      </c>
      <c r="G34" s="7" t="n">
        <f aca="false">C34/C$17*100</f>
        <v>101.241464928616</v>
      </c>
      <c r="H34" s="7" t="n">
        <f aca="false">D34/D$17*100</f>
        <v>99.7693490517683</v>
      </c>
      <c r="I34" s="7" t="n">
        <f aca="false">(E34/E$17)/(B34/B$17)*100</f>
        <v>100.074390708109</v>
      </c>
    </row>
    <row r="35" customFormat="false" ht="15" hidden="false" customHeight="false" outlineLevel="0" collapsed="false">
      <c r="A35" s="0" t="s">
        <v>48</v>
      </c>
      <c r="B35" s="6" t="n">
        <v>87.8</v>
      </c>
      <c r="C35" s="6" t="n">
        <v>81.65</v>
      </c>
      <c r="D35" s="6" t="n">
        <v>79.62</v>
      </c>
      <c r="E35" s="6" t="n">
        <v>1554.58</v>
      </c>
      <c r="F35" s="7" t="n">
        <f aca="false">B35/B$17*100</f>
        <v>101.105481345002</v>
      </c>
      <c r="G35" s="7" t="n">
        <f aca="false">C35/C$17*100</f>
        <v>101.365611421477</v>
      </c>
      <c r="H35" s="7" t="n">
        <f aca="false">D35/D$17*100</f>
        <v>102.024602767811</v>
      </c>
      <c r="I35" s="7" t="n">
        <f aca="false">(E35/E$17)/(B35/B$17)*100</f>
        <v>99.8806248035492</v>
      </c>
    </row>
    <row r="36" customFormat="false" ht="15" hidden="false" customHeight="false" outlineLevel="0" collapsed="false">
      <c r="A36" s="0" t="s">
        <v>49</v>
      </c>
      <c r="B36" s="6" t="n">
        <v>88.07</v>
      </c>
      <c r="C36" s="6" t="n">
        <v>82.18</v>
      </c>
      <c r="D36" s="6" t="n">
        <v>80.11</v>
      </c>
      <c r="E36" s="6" t="n">
        <v>1554.58</v>
      </c>
      <c r="F36" s="7" t="n">
        <f aca="false">B36/B$17*100</f>
        <v>101.416397973284</v>
      </c>
      <c r="G36" s="7" t="n">
        <f aca="false">C36/C$17*100</f>
        <v>102.023587833644</v>
      </c>
      <c r="H36" s="7" t="n">
        <f aca="false">D36/D$17*100</f>
        <v>102.652485904664</v>
      </c>
      <c r="I36" s="7" t="n">
        <f aca="false">(E36/E$17)/(B36/B$17)*100</f>
        <v>99.574416461356</v>
      </c>
    </row>
    <row r="37" customFormat="false" ht="15" hidden="false" customHeight="false" outlineLevel="0" collapsed="false">
      <c r="A37" s="0" t="s">
        <v>50</v>
      </c>
      <c r="B37" s="6" t="n">
        <v>88.42</v>
      </c>
      <c r="C37" s="6" t="n">
        <v>81.55</v>
      </c>
      <c r="D37" s="6" t="n">
        <v>81.21</v>
      </c>
      <c r="E37" s="6" t="n">
        <v>1554.58</v>
      </c>
      <c r="F37" s="7" t="n">
        <f aca="false">B37/B$17*100</f>
        <v>101.819438046983</v>
      </c>
      <c r="G37" s="7" t="n">
        <f aca="false">C37/C$17*100</f>
        <v>101.241464928616</v>
      </c>
      <c r="H37" s="7" t="n">
        <f aca="false">D37/D$17*100</f>
        <v>104.062019477191</v>
      </c>
      <c r="I37" s="7" t="n">
        <f aca="false">(E37/E$17)/(B37/B$17)*100</f>
        <v>99.1802630372271</v>
      </c>
    </row>
    <row r="38" customFormat="false" ht="15" hidden="false" customHeight="false" outlineLevel="0" collapsed="false">
      <c r="A38" s="0" t="s">
        <v>51</v>
      </c>
      <c r="B38" s="6" t="n">
        <v>88.8</v>
      </c>
      <c r="C38" s="6" t="n">
        <v>81.42</v>
      </c>
      <c r="D38" s="6" t="n">
        <v>85.18</v>
      </c>
      <c r="E38" s="6" t="n">
        <v>1589.47</v>
      </c>
      <c r="F38" s="7" t="n">
        <f aca="false">B38/B$17*100</f>
        <v>102.257024412713</v>
      </c>
      <c r="G38" s="7" t="n">
        <f aca="false">C38/C$17*100</f>
        <v>101.080074487896</v>
      </c>
      <c r="H38" s="7" t="n">
        <f aca="false">D38/D$17*100</f>
        <v>109.149154279856</v>
      </c>
      <c r="I38" s="7" t="n">
        <f aca="false">(E38/E$17)/(B38/B$17)*100</f>
        <v>100.972256018735</v>
      </c>
    </row>
    <row r="39" customFormat="false" ht="15" hidden="false" customHeight="false" outlineLevel="0" collapsed="false">
      <c r="A39" s="0" t="s">
        <v>52</v>
      </c>
      <c r="B39" s="6" t="n">
        <v>89.21</v>
      </c>
      <c r="C39" s="6" t="n">
        <v>81.75</v>
      </c>
      <c r="D39" s="6" t="n">
        <v>86.4</v>
      </c>
      <c r="E39" s="6" t="n">
        <v>1589.47</v>
      </c>
      <c r="F39" s="7" t="n">
        <f aca="false">B39/B$17*100</f>
        <v>102.729157070474</v>
      </c>
      <c r="G39" s="7" t="n">
        <f aca="false">C39/C$17*100</f>
        <v>101.489757914339</v>
      </c>
      <c r="H39" s="7" t="n">
        <f aca="false">D39/D$17*100</f>
        <v>110.712455151205</v>
      </c>
      <c r="I39" s="7" t="n">
        <f aca="false">(E39/E$17)/(B39/B$17)*100</f>
        <v>100.50819789781</v>
      </c>
    </row>
    <row r="40" customFormat="false" ht="15" hidden="false" customHeight="false" outlineLevel="0" collapsed="false">
      <c r="A40" s="0" t="s">
        <v>53</v>
      </c>
      <c r="B40" s="6" t="n">
        <v>89.42</v>
      </c>
      <c r="C40" s="6" t="n">
        <v>82.16</v>
      </c>
      <c r="D40" s="6" t="n">
        <v>85.58</v>
      </c>
      <c r="E40" s="6" t="n">
        <v>1589.47</v>
      </c>
      <c r="F40" s="7" t="n">
        <f aca="false">B40/B$17*100</f>
        <v>102.970981114694</v>
      </c>
      <c r="G40" s="7" t="n">
        <f aca="false">C40/C$17*100</f>
        <v>101.998758535071</v>
      </c>
      <c r="H40" s="7" t="n">
        <f aca="false">D40/D$17*100</f>
        <v>109.661711942594</v>
      </c>
      <c r="I40" s="7" t="n">
        <f aca="false">(E40/E$17)/(B40/B$17)*100</f>
        <v>100.272157620931</v>
      </c>
    </row>
    <row r="41" customFormat="false" ht="15" hidden="false" customHeight="false" outlineLevel="0" collapsed="false">
      <c r="A41" s="0" t="s">
        <v>54</v>
      </c>
      <c r="B41" s="6" t="n">
        <v>89.91</v>
      </c>
      <c r="C41" s="6" t="n">
        <v>82.62</v>
      </c>
      <c r="D41" s="6" t="n">
        <v>88.13</v>
      </c>
      <c r="E41" s="6" t="n">
        <v>1603.12</v>
      </c>
      <c r="F41" s="7" t="n">
        <f aca="false">B41/B$17*100</f>
        <v>103.535237217872</v>
      </c>
      <c r="G41" s="7" t="n">
        <f aca="false">C41/C$17*100</f>
        <v>102.569832402235</v>
      </c>
      <c r="H41" s="7" t="n">
        <f aca="false">D41/D$17*100</f>
        <v>112.929267042542</v>
      </c>
      <c r="I41" s="7" t="n">
        <f aca="false">(E41/E$17)/(B41/B$17)*100</f>
        <v>100.582106027736</v>
      </c>
    </row>
    <row r="42" customFormat="false" ht="15" hidden="false" customHeight="false" outlineLevel="0" collapsed="false">
      <c r="A42" s="0" t="s">
        <v>55</v>
      </c>
      <c r="B42" s="6" t="n">
        <v>90.32</v>
      </c>
      <c r="C42" s="6" t="n">
        <v>82.91</v>
      </c>
      <c r="D42" s="6" t="n">
        <v>91.27</v>
      </c>
      <c r="E42" s="6" t="n">
        <v>1603.12</v>
      </c>
      <c r="F42" s="7" t="n">
        <f aca="false">B42/B$17*100</f>
        <v>104.007369875633</v>
      </c>
      <c r="G42" s="7" t="n">
        <f aca="false">C42/C$17*100</f>
        <v>102.929857231533</v>
      </c>
      <c r="H42" s="7" t="n">
        <f aca="false">D42/D$17*100</f>
        <v>116.952844695028</v>
      </c>
      <c r="I42" s="7" t="n">
        <f aca="false">(E42/E$17)/(B42/B$17)*100</f>
        <v>100.125522065475</v>
      </c>
    </row>
    <row r="43" customFormat="false" ht="15" hidden="false" customHeight="false" outlineLevel="0" collapsed="false">
      <c r="A43" s="0" t="s">
        <v>56</v>
      </c>
      <c r="B43" s="6" t="n">
        <v>91.28</v>
      </c>
      <c r="C43" s="6" t="n">
        <v>83.64</v>
      </c>
      <c r="D43" s="6" t="n">
        <v>99.58</v>
      </c>
      <c r="E43" s="6" t="n">
        <v>1603.12</v>
      </c>
      <c r="F43" s="7" t="n">
        <f aca="false">B43/B$17*100</f>
        <v>105.112851220636</v>
      </c>
      <c r="G43" s="7" t="n">
        <f aca="false">C43/C$17*100</f>
        <v>103.836126629423</v>
      </c>
      <c r="H43" s="7" t="n">
        <f aca="false">D43/D$17*100</f>
        <v>127.601230138391</v>
      </c>
      <c r="I43" s="7" t="n">
        <f aca="false">(E43/E$17)/(B43/B$17)*100</f>
        <v>99.0724929114122</v>
      </c>
    </row>
    <row r="44" customFormat="false" ht="15" hidden="false" customHeight="false" outlineLevel="0" collapsed="false">
      <c r="A44" s="0" t="s">
        <v>57</v>
      </c>
      <c r="B44" s="6" t="n">
        <v>91.51</v>
      </c>
      <c r="C44" s="6" t="n">
        <v>84.84</v>
      </c>
      <c r="D44" s="6" t="n">
        <v>96.97</v>
      </c>
      <c r="E44" s="6" t="n">
        <v>1603.12</v>
      </c>
      <c r="F44" s="7" t="n">
        <f aca="false">B44/B$17*100</f>
        <v>105.377706126209</v>
      </c>
      <c r="G44" s="7" t="n">
        <f aca="false">C44/C$17*100</f>
        <v>105.325884543762</v>
      </c>
      <c r="H44" s="7" t="n">
        <f aca="false">D44/D$17*100</f>
        <v>124.256791389031</v>
      </c>
      <c r="I44" s="7" t="n">
        <f aca="false">(E44/E$17)/(B44/B$17)*100</f>
        <v>98.8234854437079</v>
      </c>
    </row>
    <row r="45" customFormat="false" ht="15" hidden="false" customHeight="false" outlineLevel="0" collapsed="false">
      <c r="A45" s="0" t="s">
        <v>58</v>
      </c>
      <c r="B45" s="6" t="n">
        <v>92.11</v>
      </c>
      <c r="C45" s="6" t="n">
        <v>85.65</v>
      </c>
      <c r="D45" s="6" t="n">
        <v>98.55</v>
      </c>
      <c r="E45" s="6" t="n">
        <v>1645.58</v>
      </c>
      <c r="F45" s="7" t="n">
        <f aca="false">B45/B$17*100</f>
        <v>106.068631966836</v>
      </c>
      <c r="G45" s="7" t="n">
        <f aca="false">C45/C$17*100</f>
        <v>106.33147113594</v>
      </c>
      <c r="H45" s="7" t="n">
        <f aca="false">D45/D$17*100</f>
        <v>126.281394156843</v>
      </c>
      <c r="I45" s="7" t="n">
        <f aca="false">(E45/E$17)/(B45/B$17)*100</f>
        <v>100.780128625399</v>
      </c>
    </row>
    <row r="46" customFormat="false" ht="15" hidden="false" customHeight="false" outlineLevel="0" collapsed="false">
      <c r="A46" s="0" t="s">
        <v>59</v>
      </c>
      <c r="B46" s="6" t="n">
        <v>92.75</v>
      </c>
      <c r="C46" s="6" t="n">
        <v>86.32</v>
      </c>
      <c r="D46" s="6" t="n">
        <v>103.76</v>
      </c>
      <c r="E46" s="6" t="n">
        <v>1645.58</v>
      </c>
      <c r="F46" s="7" t="n">
        <f aca="false">B46/B$17*100</f>
        <v>106.80561953017</v>
      </c>
      <c r="G46" s="7" t="n">
        <f aca="false">C46/C$17*100</f>
        <v>107.163252638113</v>
      </c>
      <c r="H46" s="7" t="n">
        <f aca="false">D46/D$17*100</f>
        <v>132.957457713993</v>
      </c>
      <c r="I46" s="7" t="n">
        <f aca="false">(E46/E$17)/(B46/B$17)*100</f>
        <v>100.084718573428</v>
      </c>
    </row>
    <row r="47" customFormat="false" ht="15" hidden="false" customHeight="false" outlineLevel="0" collapsed="false">
      <c r="A47" s="0" t="s">
        <v>60</v>
      </c>
      <c r="B47" s="6" t="n">
        <v>93.08</v>
      </c>
      <c r="C47" s="6" t="n">
        <v>87.18</v>
      </c>
      <c r="D47" s="6" t="n">
        <v>102.32</v>
      </c>
      <c r="E47" s="6" t="n">
        <v>1645.58</v>
      </c>
      <c r="F47" s="7" t="n">
        <f aca="false">B47/B$17*100</f>
        <v>107.185628742515</v>
      </c>
      <c r="G47" s="7" t="n">
        <f aca="false">C47/C$17*100</f>
        <v>108.230912476723</v>
      </c>
      <c r="H47" s="7" t="n">
        <f aca="false">D47/D$17*100</f>
        <v>131.112250128139</v>
      </c>
      <c r="I47" s="7" t="n">
        <f aca="false">(E47/E$17)/(B47/B$17)*100</f>
        <v>99.7298844830844</v>
      </c>
    </row>
    <row r="48" customFormat="false" ht="15" hidden="false" customHeight="false" outlineLevel="0" collapsed="false">
      <c r="A48" s="0" t="s">
        <v>61</v>
      </c>
      <c r="B48" s="6" t="n">
        <v>93.21</v>
      </c>
      <c r="C48" s="6" t="n">
        <v>88.64</v>
      </c>
      <c r="D48" s="6" t="n">
        <v>98.38</v>
      </c>
      <c r="E48" s="6" t="n">
        <v>1678.95</v>
      </c>
      <c r="F48" s="7" t="n">
        <f aca="false">B48/B$17*100</f>
        <v>107.335329341317</v>
      </c>
      <c r="G48" s="7" t="n">
        <f aca="false">C48/C$17*100</f>
        <v>110.043451272502</v>
      </c>
      <c r="H48" s="7" t="n">
        <f aca="false">D48/D$17*100</f>
        <v>126.063557150179</v>
      </c>
      <c r="I48" s="7" t="n">
        <f aca="false">(E48/E$17)/(B48/B$17)*100</f>
        <v>101.610349471944</v>
      </c>
    </row>
    <row r="49" customFormat="false" ht="15" hidden="false" customHeight="false" outlineLevel="0" collapsed="false">
      <c r="A49" s="0" t="s">
        <v>62</v>
      </c>
      <c r="B49" s="6" t="n">
        <v>93.37</v>
      </c>
      <c r="C49" s="6" t="n">
        <v>89.62</v>
      </c>
      <c r="D49" s="6" t="n">
        <v>95.91</v>
      </c>
      <c r="E49" s="6" t="n">
        <v>1678.95</v>
      </c>
      <c r="F49" s="7" t="n">
        <f aca="false">B49/B$17*100</f>
        <v>107.519576232151</v>
      </c>
      <c r="G49" s="7" t="n">
        <f aca="false">C49/C$17*100</f>
        <v>111.260086902545</v>
      </c>
      <c r="H49" s="7" t="n">
        <f aca="false">D49/D$17*100</f>
        <v>122.898513582778</v>
      </c>
      <c r="I49" s="7" t="n">
        <f aca="false">(E49/E$17)/(B49/B$17)*100</f>
        <v>101.436228706008</v>
      </c>
    </row>
    <row r="50" customFormat="false" ht="15" hidden="false" customHeight="false" outlineLevel="0" collapsed="false">
      <c r="A50" s="0" t="s">
        <v>63</v>
      </c>
      <c r="B50" s="6" t="n">
        <v>94.32</v>
      </c>
      <c r="C50" s="6" t="n">
        <v>91.18</v>
      </c>
      <c r="D50" s="6" t="n">
        <v>101.61</v>
      </c>
      <c r="E50" s="6" t="n">
        <v>1678.95</v>
      </c>
      <c r="F50" s="7" t="n">
        <f aca="false">B50/B$17*100</f>
        <v>108.613542146476</v>
      </c>
      <c r="G50" s="7" t="n">
        <f aca="false">C50/C$17*100</f>
        <v>113.196772191186</v>
      </c>
      <c r="H50" s="7" t="n">
        <f aca="false">D50/D$17*100</f>
        <v>130.202460276781</v>
      </c>
      <c r="I50" s="7" t="n">
        <f aca="false">(E50/E$17)/(B50/B$17)*100</f>
        <v>100.414553374469</v>
      </c>
    </row>
    <row r="51" customFormat="false" ht="15" hidden="false" customHeight="false" outlineLevel="0" collapsed="false">
      <c r="A51" s="0" t="s">
        <v>64</v>
      </c>
      <c r="B51" s="6" t="n">
        <v>94.74</v>
      </c>
      <c r="C51" s="6" t="n">
        <v>91.65</v>
      </c>
      <c r="D51" s="6" t="n">
        <v>102.46</v>
      </c>
      <c r="E51" s="6" t="n">
        <v>1678.95</v>
      </c>
      <c r="F51" s="7" t="n">
        <f aca="false">B51/B$17*100</f>
        <v>109.097190234915</v>
      </c>
      <c r="G51" s="7" t="n">
        <f aca="false">C51/C$17*100</f>
        <v>113.780260707635</v>
      </c>
      <c r="H51" s="7" t="n">
        <f aca="false">D51/D$17*100</f>
        <v>131.291645310097</v>
      </c>
      <c r="I51" s="7" t="n">
        <f aca="false">(E51/E$17)/(B51/B$17)*100</f>
        <v>99.9693970263872</v>
      </c>
    </row>
    <row r="52" customFormat="false" ht="15" hidden="false" customHeight="false" outlineLevel="0" collapsed="false">
      <c r="A52" s="0" t="s">
        <v>65</v>
      </c>
      <c r="B52" s="6" t="n">
        <v>94.71</v>
      </c>
      <c r="C52" s="6" t="n">
        <v>92.08</v>
      </c>
      <c r="D52" s="6" t="n">
        <v>98.64</v>
      </c>
      <c r="E52" s="6" t="n">
        <v>1678.95</v>
      </c>
      <c r="F52" s="7" t="n">
        <f aca="false">B52/B$17*100</f>
        <v>109.062643942883</v>
      </c>
      <c r="G52" s="7" t="n">
        <f aca="false">C52/C$17*100</f>
        <v>114.31409062694</v>
      </c>
      <c r="H52" s="7" t="n">
        <f aca="false">D52/D$17*100</f>
        <v>126.396719630958</v>
      </c>
      <c r="I52" s="7" t="n">
        <f aca="false">(E52/E$17)/(B52/B$17)*100</f>
        <v>100.001062974131</v>
      </c>
    </row>
    <row r="53" customFormat="false" ht="15" hidden="false" customHeight="false" outlineLevel="0" collapsed="false">
      <c r="A53" s="0" t="s">
        <v>66</v>
      </c>
      <c r="B53" s="6" t="n">
        <v>95.33</v>
      </c>
      <c r="C53" s="6" t="n">
        <v>93.64</v>
      </c>
      <c r="D53" s="6" t="n">
        <v>102.6</v>
      </c>
      <c r="E53" s="6" t="n">
        <v>1709.28</v>
      </c>
      <c r="F53" s="7" t="n">
        <f aca="false">B53/B$17*100</f>
        <v>109.776600644864</v>
      </c>
      <c r="G53" s="7" t="n">
        <f aca="false">C53/C$17*100</f>
        <v>116.25077591558</v>
      </c>
      <c r="H53" s="7" t="n">
        <f aca="false">D53/D$17*100</f>
        <v>131.471040492055</v>
      </c>
      <c r="I53" s="7" t="n">
        <f aca="false">(E53/E$17)/(B53/B$17)*100</f>
        <v>101.145440057057</v>
      </c>
    </row>
    <row r="54" customFormat="false" ht="15" hidden="false" customHeight="false" outlineLevel="0" collapsed="false">
      <c r="A54" s="0" t="s">
        <v>67</v>
      </c>
      <c r="B54" s="6" t="n">
        <v>95.96</v>
      </c>
      <c r="C54" s="6" t="n">
        <v>95.22</v>
      </c>
      <c r="D54" s="6" t="n">
        <v>104.18</v>
      </c>
      <c r="E54" s="6" t="n">
        <v>1709.28</v>
      </c>
      <c r="F54" s="7" t="n">
        <f aca="false">B54/B$17*100</f>
        <v>110.502072777522</v>
      </c>
      <c r="G54" s="7" t="n">
        <f aca="false">C54/C$17*100</f>
        <v>118.212290502793</v>
      </c>
      <c r="H54" s="7" t="n">
        <f aca="false">D54/D$17*100</f>
        <v>133.495643259867</v>
      </c>
      <c r="I54" s="7" t="n">
        <f aca="false">(E54/E$17)/(B54/B$17)*100</f>
        <v>100.481396421834</v>
      </c>
    </row>
    <row r="55" customFormat="false" ht="15" hidden="false" customHeight="false" outlineLevel="0" collapsed="false">
      <c r="A55" s="0" t="s">
        <v>68</v>
      </c>
      <c r="B55" s="6" t="n">
        <v>96.5</v>
      </c>
      <c r="C55" s="6" t="n">
        <v>96.95</v>
      </c>
      <c r="D55" s="6" t="n">
        <v>104.47</v>
      </c>
      <c r="E55" s="6" t="n">
        <v>1709.28</v>
      </c>
      <c r="F55" s="7" t="n">
        <f aca="false">B55/B$17*100</f>
        <v>111.123906034086</v>
      </c>
      <c r="G55" s="7" t="n">
        <f aca="false">C55/C$17*100</f>
        <v>120.360024829299</v>
      </c>
      <c r="H55" s="7" t="n">
        <f aca="false">D55/D$17*100</f>
        <v>133.867247565351</v>
      </c>
      <c r="I55" s="7" t="n">
        <f aca="false">(E55/E$17)/(B55/B$17)*100</f>
        <v>99.9191171050695</v>
      </c>
    </row>
    <row r="56" customFormat="false" ht="15" hidden="false" customHeight="false" outlineLevel="0" collapsed="false">
      <c r="A56" s="0" t="s">
        <v>69</v>
      </c>
      <c r="B56" s="6" t="n">
        <v>96.85</v>
      </c>
      <c r="C56" s="6" t="n">
        <v>97.53</v>
      </c>
      <c r="D56" s="6" t="n">
        <v>103.68</v>
      </c>
      <c r="E56" s="6" t="n">
        <v>1709.28</v>
      </c>
      <c r="F56" s="7" t="n">
        <f aca="false">B56/B$17*100</f>
        <v>111.526946107784</v>
      </c>
      <c r="G56" s="7" t="n">
        <f aca="false">C56/C$17*100</f>
        <v>121.080074487896</v>
      </c>
      <c r="H56" s="7" t="n">
        <f aca="false">D56/D$17*100</f>
        <v>132.854946181445</v>
      </c>
      <c r="I56" s="7" t="n">
        <f aca="false">(E56/E$17)/(B56/B$17)*100</f>
        <v>99.558025819713</v>
      </c>
    </row>
    <row r="57" customFormat="false" ht="15" hidden="false" customHeight="false" outlineLevel="0" collapsed="false">
      <c r="A57" s="0" t="s">
        <v>70</v>
      </c>
      <c r="B57" s="6" t="n">
        <v>96.84</v>
      </c>
      <c r="C57" s="6" t="n">
        <v>97.86</v>
      </c>
      <c r="D57" s="6" t="n">
        <v>100.55</v>
      </c>
      <c r="E57" s="6" t="n">
        <v>1747.2</v>
      </c>
      <c r="F57" s="7" t="n">
        <f aca="false">B57/B$17*100</f>
        <v>111.515430677107</v>
      </c>
      <c r="G57" s="7" t="n">
        <f aca="false">C57/C$17*100</f>
        <v>121.489757914339</v>
      </c>
      <c r="H57" s="7" t="n">
        <f aca="false">D57/D$17*100</f>
        <v>128.844182470528</v>
      </c>
      <c r="I57" s="7" t="n">
        <f aca="false">(E57/E$17)/(B57/B$17)*100</f>
        <v>101.777207421833</v>
      </c>
    </row>
    <row r="58" customFormat="false" ht="15" hidden="false" customHeight="false" outlineLevel="0" collapsed="false">
      <c r="A58" s="0" t="s">
        <v>71</v>
      </c>
      <c r="B58" s="6" t="n">
        <v>96.95</v>
      </c>
      <c r="C58" s="6" t="n">
        <v>98.12</v>
      </c>
      <c r="D58" s="6" t="n">
        <v>100.69</v>
      </c>
      <c r="E58" s="6" t="n">
        <v>1747.2</v>
      </c>
      <c r="F58" s="7" t="n">
        <f aca="false">B58/B$17*100</f>
        <v>111.642100414556</v>
      </c>
      <c r="G58" s="7" t="n">
        <f aca="false">C58/C$17*100</f>
        <v>121.812538795779</v>
      </c>
      <c r="H58" s="7" t="n">
        <f aca="false">D58/D$17*100</f>
        <v>129.023577652486</v>
      </c>
      <c r="I58" s="7" t="n">
        <f aca="false">(E58/E$17)/(B58/B$17)*100</f>
        <v>101.661730445903</v>
      </c>
    </row>
    <row r="59" customFormat="false" ht="15" hidden="false" customHeight="false" outlineLevel="0" collapsed="false">
      <c r="A59" s="0" t="s">
        <v>72</v>
      </c>
      <c r="B59" s="6" t="n">
        <v>97.02</v>
      </c>
      <c r="C59" s="6" t="n">
        <v>98.21</v>
      </c>
      <c r="D59" s="6" t="n">
        <v>98.64</v>
      </c>
      <c r="E59" s="6" t="n">
        <v>1747.2</v>
      </c>
      <c r="F59" s="7" t="n">
        <f aca="false">B59/B$17*100</f>
        <v>111.722708429295</v>
      </c>
      <c r="G59" s="7" t="n">
        <f aca="false">C59/C$17*100</f>
        <v>121.924270639354</v>
      </c>
      <c r="H59" s="7" t="n">
        <f aca="false">D59/D$17*100</f>
        <v>126.396719630958</v>
      </c>
      <c r="I59" s="7" t="n">
        <f aca="false">(E59/E$17)/(B59/B$17)*100</f>
        <v>101.588381434038</v>
      </c>
    </row>
    <row r="60" customFormat="false" ht="15" hidden="false" customHeight="false" outlineLevel="0" collapsed="false">
      <c r="A60" s="0" t="s">
        <v>73</v>
      </c>
      <c r="B60" s="6" t="n">
        <v>97.67</v>
      </c>
      <c r="C60" s="6" t="n">
        <v>98.55</v>
      </c>
      <c r="D60" s="6" t="n">
        <v>105.2</v>
      </c>
      <c r="E60" s="6" t="n">
        <v>1747.2</v>
      </c>
      <c r="F60" s="7" t="n">
        <f aca="false">B60/B$17*100</f>
        <v>112.471211423307</v>
      </c>
      <c r="G60" s="7" t="n">
        <f aca="false">C60/C$17*100</f>
        <v>122.346368715084</v>
      </c>
      <c r="H60" s="7" t="n">
        <f aca="false">D60/D$17*100</f>
        <v>134.802665299846</v>
      </c>
      <c r="I60" s="7" t="n">
        <f aca="false">(E60/E$17)/(B60/B$17)*100</f>
        <v>100.912304358865</v>
      </c>
    </row>
    <row r="61" customFormat="false" ht="15" hidden="false" customHeight="false" outlineLevel="0" collapsed="false">
      <c r="A61" s="0" t="s">
        <v>74</v>
      </c>
      <c r="B61" s="6" t="n">
        <v>97.99</v>
      </c>
      <c r="C61" s="6" t="n">
        <v>98.28</v>
      </c>
      <c r="D61" s="6" t="n">
        <v>107.24</v>
      </c>
      <c r="E61" s="6" t="n">
        <v>1747.2</v>
      </c>
      <c r="F61" s="7" t="n">
        <f aca="false">B61/B$17*100</f>
        <v>112.839705204975</v>
      </c>
      <c r="G61" s="7" t="n">
        <f aca="false">C61/C$17*100</f>
        <v>122.011173184358</v>
      </c>
      <c r="H61" s="7" t="n">
        <f aca="false">D61/D$17*100</f>
        <v>137.416709379805</v>
      </c>
      <c r="I61" s="7" t="n">
        <f aca="false">(E61/E$17)/(B61/B$17)*100</f>
        <v>100.582761166755</v>
      </c>
    </row>
    <row r="62" customFormat="false" ht="15" hidden="false" customHeight="false" outlineLevel="0" collapsed="false">
      <c r="A62" s="0" t="s">
        <v>75</v>
      </c>
      <c r="B62" s="6" t="n">
        <v>98.07</v>
      </c>
      <c r="C62" s="6" t="n">
        <v>98.31</v>
      </c>
      <c r="D62" s="6" t="n">
        <v>106.63</v>
      </c>
      <c r="E62" s="6" t="n">
        <v>1747.2</v>
      </c>
      <c r="F62" s="7" t="n">
        <f aca="false">B62/B$17*100</f>
        <v>112.931828650392</v>
      </c>
      <c r="G62" s="7" t="n">
        <f aca="false">C62/C$17*100</f>
        <v>122.048417132216</v>
      </c>
      <c r="H62" s="7" t="n">
        <f aca="false">D62/D$17*100</f>
        <v>136.635058944131</v>
      </c>
      <c r="I62" s="7" t="n">
        <f aca="false">(E62/E$17)/(B62/B$17)*100</f>
        <v>100.500711397271</v>
      </c>
    </row>
    <row r="63" customFormat="false" ht="15" hidden="false" customHeight="false" outlineLevel="0" collapsed="false">
      <c r="A63" s="0" t="s">
        <v>76</v>
      </c>
      <c r="B63" s="6" t="n">
        <v>98.08</v>
      </c>
      <c r="C63" s="6" t="n">
        <v>98.69</v>
      </c>
      <c r="D63" s="6" t="n">
        <v>105.48</v>
      </c>
      <c r="E63" s="6" t="n">
        <v>1747.2</v>
      </c>
      <c r="F63" s="7" t="n">
        <f aca="false">B63/B$17*100</f>
        <v>112.943344081069</v>
      </c>
      <c r="G63" s="7" t="n">
        <f aca="false">C63/C$17*100</f>
        <v>122.52017380509</v>
      </c>
      <c r="H63" s="7" t="n">
        <f aca="false">D63/D$17*100</f>
        <v>135.161455663762</v>
      </c>
      <c r="I63" s="7" t="n">
        <f aca="false">(E63/E$17)/(B63/B$17)*100</f>
        <v>100.490464587381</v>
      </c>
    </row>
    <row r="64" customFormat="false" ht="15" hidden="false" customHeight="false" outlineLevel="0" collapsed="false">
      <c r="A64" s="0" t="s">
        <v>77</v>
      </c>
      <c r="B64" s="6" t="n">
        <v>98.25</v>
      </c>
      <c r="C64" s="6" t="n">
        <v>98.72</v>
      </c>
      <c r="D64" s="6" t="n">
        <v>104.25</v>
      </c>
      <c r="E64" s="6" t="n">
        <v>1747.2</v>
      </c>
      <c r="F64" s="7" t="n">
        <f aca="false">B64/B$17*100</f>
        <v>113.139106402579</v>
      </c>
      <c r="G64" s="7" t="n">
        <f aca="false">C64/C$17*100</f>
        <v>122.557417752948</v>
      </c>
      <c r="H64" s="7" t="n">
        <f aca="false">D64/D$17*100</f>
        <v>133.585340850846</v>
      </c>
      <c r="I64" s="7" t="n">
        <f aca="false">(E64/E$17)/(B64/B$17)*100</f>
        <v>100.316587956543</v>
      </c>
    </row>
    <row r="65" customFormat="false" ht="15" hidden="false" customHeight="false" outlineLevel="0" collapsed="false">
      <c r="A65" s="0" t="s">
        <v>78</v>
      </c>
      <c r="B65" s="6" t="n">
        <v>98.34</v>
      </c>
      <c r="C65" s="6" t="n">
        <v>98.95</v>
      </c>
      <c r="D65" s="6" t="n">
        <v>104.46</v>
      </c>
      <c r="E65" s="6" t="n">
        <v>1766.92</v>
      </c>
      <c r="F65" s="7" t="n">
        <f aca="false">B65/B$17*100</f>
        <v>113.242745278673</v>
      </c>
      <c r="G65" s="7" t="n">
        <f aca="false">C65/C$17*100</f>
        <v>122.84295468653</v>
      </c>
      <c r="H65" s="7" t="n">
        <f aca="false">D65/D$17*100</f>
        <v>133.854433623783</v>
      </c>
      <c r="I65" s="7" t="n">
        <f aca="false">(E65/E$17)/(B65/B$17)*100</f>
        <v>101.355978999742</v>
      </c>
    </row>
    <row r="66" customFormat="false" ht="15" hidden="false" customHeight="false" outlineLevel="0" collapsed="false">
      <c r="A66" s="0" t="s">
        <v>79</v>
      </c>
      <c r="B66" s="6" t="n">
        <v>98.79</v>
      </c>
      <c r="C66" s="6" t="n">
        <v>98.62</v>
      </c>
      <c r="D66" s="6" t="n">
        <v>108.68</v>
      </c>
      <c r="E66" s="6" t="n">
        <v>1766.92</v>
      </c>
      <c r="F66" s="7" t="n">
        <f aca="false">B66/B$17*100</f>
        <v>113.760939659143</v>
      </c>
      <c r="G66" s="7" t="n">
        <f aca="false">C66/C$17*100</f>
        <v>122.433271260087</v>
      </c>
      <c r="H66" s="7" t="n">
        <f aca="false">D66/D$17*100</f>
        <v>139.261916965659</v>
      </c>
      <c r="I66" s="7" t="n">
        <f aca="false">(E66/E$17)/(B66/B$17)*100</f>
        <v>100.894290665398</v>
      </c>
    </row>
    <row r="67" customFormat="false" ht="15" hidden="false" customHeight="false" outlineLevel="0" collapsed="false">
      <c r="A67" s="0" t="s">
        <v>80</v>
      </c>
      <c r="B67" s="6" t="n">
        <v>98.74</v>
      </c>
      <c r="C67" s="6" t="n">
        <v>98.62</v>
      </c>
      <c r="D67" s="6" t="n">
        <v>107.86</v>
      </c>
      <c r="E67" s="6" t="n">
        <v>1766.92</v>
      </c>
      <c r="F67" s="7" t="n">
        <f aca="false">B67/B$17*100</f>
        <v>113.703362505758</v>
      </c>
      <c r="G67" s="7" t="n">
        <f aca="false">C67/C$17*100</f>
        <v>122.433271260087</v>
      </c>
      <c r="H67" s="7" t="n">
        <f aca="false">D67/D$17*100</f>
        <v>138.211173757048</v>
      </c>
      <c r="I67" s="7" t="n">
        <f aca="false">(E67/E$17)/(B67/B$17)*100</f>
        <v>100.945381555952</v>
      </c>
    </row>
    <row r="68" customFormat="false" ht="15" hidden="false" customHeight="false" outlineLevel="0" collapsed="false">
      <c r="A68" s="0" t="s">
        <v>81</v>
      </c>
      <c r="B68" s="6" t="n">
        <v>98.93</v>
      </c>
      <c r="C68" s="6" t="n">
        <v>98.71</v>
      </c>
      <c r="D68" s="6" t="n">
        <v>107.52</v>
      </c>
      <c r="E68" s="6" t="n">
        <v>1766.92</v>
      </c>
      <c r="F68" s="7" t="n">
        <f aca="false">B68/B$17*100</f>
        <v>113.922155688623</v>
      </c>
      <c r="G68" s="7" t="n">
        <f aca="false">C68/C$17*100</f>
        <v>122.545003103662</v>
      </c>
      <c r="H68" s="7" t="n">
        <f aca="false">D68/D$17*100</f>
        <v>137.775499743721</v>
      </c>
      <c r="I68" s="7" t="n">
        <f aca="false">(E68/E$17)/(B68/B$17)*100</f>
        <v>100.751510915139</v>
      </c>
    </row>
    <row r="69" customFormat="false" ht="15" hidden="false" customHeight="false" outlineLevel="0" collapsed="false">
      <c r="A69" s="0" t="s">
        <v>82</v>
      </c>
      <c r="B69" s="6" t="n">
        <v>99.06</v>
      </c>
      <c r="C69" s="6" t="n">
        <v>99.1</v>
      </c>
      <c r="D69" s="6" t="n">
        <v>106.22</v>
      </c>
      <c r="E69" s="6" t="n">
        <v>1766.92</v>
      </c>
      <c r="F69" s="7" t="n">
        <f aca="false">B69/B$17*100</f>
        <v>114.071856287425</v>
      </c>
      <c r="G69" s="7" t="n">
        <f aca="false">C69/C$17*100</f>
        <v>123.029174425822</v>
      </c>
      <c r="H69" s="7" t="n">
        <f aca="false">D69/D$17*100</f>
        <v>136.109687339826</v>
      </c>
      <c r="I69" s="7" t="n">
        <f aca="false">(E69/E$17)/(B69/B$17)*100</f>
        <v>100.619291084541</v>
      </c>
    </row>
    <row r="70" customFormat="false" ht="15" hidden="false" customHeight="false" outlineLevel="0" collapsed="false">
      <c r="A70" s="0" t="s">
        <v>83</v>
      </c>
      <c r="B70" s="6" t="n">
        <v>99.04</v>
      </c>
      <c r="C70" s="6" t="n">
        <v>98.92</v>
      </c>
      <c r="D70" s="6" t="n">
        <v>105.42</v>
      </c>
      <c r="E70" s="6" t="n">
        <v>1766.92</v>
      </c>
      <c r="F70" s="7" t="n">
        <f aca="false">B70/B$17*100</f>
        <v>114.048825426071</v>
      </c>
      <c r="G70" s="7" t="n">
        <f aca="false">C70/C$17*100</f>
        <v>122.805710738672</v>
      </c>
      <c r="H70" s="7" t="n">
        <f aca="false">D70/D$17*100</f>
        <v>135.084572014352</v>
      </c>
      <c r="I70" s="7" t="n">
        <f aca="false">(E70/E$17)/(B70/B$17)*100</f>
        <v>100.639610004389</v>
      </c>
    </row>
    <row r="71" customFormat="false" ht="15" hidden="false" customHeight="false" outlineLevel="0" collapsed="false">
      <c r="A71" s="0" t="s">
        <v>84</v>
      </c>
      <c r="B71" s="6" t="n">
        <v>99.21</v>
      </c>
      <c r="C71" s="6" t="n">
        <v>98.72</v>
      </c>
      <c r="D71" s="6" t="n">
        <v>106.96</v>
      </c>
      <c r="E71" s="6" t="n">
        <v>1766.92</v>
      </c>
      <c r="F71" s="7" t="n">
        <f aca="false">B71/B$17*100</f>
        <v>114.244587747582</v>
      </c>
      <c r="G71" s="7" t="n">
        <f aca="false">C71/C$17*100</f>
        <v>122.557417752948</v>
      </c>
      <c r="H71" s="7" t="n">
        <f aca="false">D71/D$17*100</f>
        <v>137.057919015889</v>
      </c>
      <c r="I71" s="7" t="n">
        <f aca="false">(E71/E$17)/(B71/B$17)*100</f>
        <v>100.467160314834</v>
      </c>
    </row>
    <row r="72" customFormat="false" ht="15" hidden="false" customHeight="false" outlineLevel="0" collapsed="false">
      <c r="A72" s="0" t="s">
        <v>85</v>
      </c>
      <c r="B72" s="6" t="n">
        <v>99.38</v>
      </c>
      <c r="C72" s="6" t="n">
        <v>99.04</v>
      </c>
      <c r="D72" s="6" t="n">
        <v>105.53</v>
      </c>
      <c r="E72" s="6" t="n">
        <v>1766.92</v>
      </c>
      <c r="F72" s="7" t="n">
        <f aca="false">B72/B$17*100</f>
        <v>114.440350069093</v>
      </c>
      <c r="G72" s="7" t="n">
        <f aca="false">C72/C$17*100</f>
        <v>122.954686530106</v>
      </c>
      <c r="H72" s="7" t="n">
        <f aca="false">D72/D$17*100</f>
        <v>135.225525371604</v>
      </c>
      <c r="I72" s="7" t="n">
        <f aca="false">(E72/E$17)/(B72/B$17)*100</f>
        <v>100.295300612142</v>
      </c>
    </row>
    <row r="73" customFormat="false" ht="15" hidden="false" customHeight="false" outlineLevel="0" collapsed="false">
      <c r="A73" s="0" t="s">
        <v>86</v>
      </c>
      <c r="B73" s="6" t="n">
        <v>99.08</v>
      </c>
      <c r="C73" s="6" t="n">
        <v>98.72</v>
      </c>
      <c r="D73" s="6" t="n">
        <v>103.6</v>
      </c>
      <c r="E73" s="6" t="n">
        <v>1766.92</v>
      </c>
      <c r="F73" s="7" t="n">
        <f aca="false">B73/B$17*100</f>
        <v>114.094887148779</v>
      </c>
      <c r="G73" s="7" t="n">
        <f aca="false">C73/C$17*100</f>
        <v>122.557417752948</v>
      </c>
      <c r="H73" s="7" t="n">
        <f aca="false">D73/D$17*100</f>
        <v>132.752434648898</v>
      </c>
      <c r="I73" s="7" t="n">
        <f aca="false">(E73/E$17)/(B73/B$17)*100</f>
        <v>100.59898036773</v>
      </c>
    </row>
    <row r="74" customFormat="false" ht="15" hidden="false" customHeight="false" outlineLevel="0" collapsed="false">
      <c r="A74" s="0" t="s">
        <v>87</v>
      </c>
      <c r="B74" s="6" t="n">
        <v>99.29</v>
      </c>
      <c r="C74" s="6" t="n">
        <v>98.92</v>
      </c>
      <c r="D74" s="6" t="n">
        <v>104.53</v>
      </c>
      <c r="E74" s="6" t="n">
        <v>1766.92</v>
      </c>
      <c r="F74" s="7" t="n">
        <f aca="false">B74/B$17*100</f>
        <v>114.336711192999</v>
      </c>
      <c r="G74" s="7" t="n">
        <f aca="false">C74/C$17*100</f>
        <v>122.805710738672</v>
      </c>
      <c r="H74" s="7" t="n">
        <f aca="false">D74/D$17*100</f>
        <v>133.944131214762</v>
      </c>
      <c r="I74" s="7" t="n">
        <f aca="false">(E74/E$17)/(B74/B$17)*100</f>
        <v>100.3862118525</v>
      </c>
    </row>
    <row r="75" customFormat="false" ht="15" hidden="false" customHeight="false" outlineLevel="0" collapsed="false">
      <c r="A75" s="0" t="s">
        <v>88</v>
      </c>
      <c r="B75" s="6" t="n">
        <v>99.36</v>
      </c>
      <c r="C75" s="6" t="n">
        <v>98.88</v>
      </c>
      <c r="D75" s="6" t="n">
        <v>104.77</v>
      </c>
      <c r="E75" s="6" t="n">
        <v>1801.8</v>
      </c>
      <c r="F75" s="7" t="n">
        <f aca="false">B75/B$17*100</f>
        <v>114.417319207738</v>
      </c>
      <c r="G75" s="7" t="n">
        <f aca="false">C75/C$17*100</f>
        <v>122.756052141527</v>
      </c>
      <c r="H75" s="7" t="n">
        <f aca="false">D75/D$17*100</f>
        <v>134.251665812404</v>
      </c>
      <c r="I75" s="7" t="n">
        <f aca="false">(E75/E$17)/(B75/B$17)*100</f>
        <v>102.295773356387</v>
      </c>
    </row>
    <row r="76" customFormat="false" ht="15" hidden="false" customHeight="false" outlineLevel="0" collapsed="false">
      <c r="A76" s="0" t="s">
        <v>89</v>
      </c>
      <c r="B76" s="6" t="n">
        <v>99.56</v>
      </c>
      <c r="C76" s="6" t="n">
        <v>98.74</v>
      </c>
      <c r="D76" s="6" t="n">
        <v>105.53</v>
      </c>
      <c r="E76" s="6" t="n">
        <v>1801.8</v>
      </c>
      <c r="F76" s="7" t="n">
        <f aca="false">B76/B$17*100</f>
        <v>114.647627821281</v>
      </c>
      <c r="G76" s="7" t="n">
        <f aca="false">C76/C$17*100</f>
        <v>122.582247051521</v>
      </c>
      <c r="H76" s="7" t="n">
        <f aca="false">D76/D$17*100</f>
        <v>135.225525371604</v>
      </c>
      <c r="I76" s="7" t="n">
        <f aca="false">(E76/E$17)/(B76/B$17)*100</f>
        <v>102.090277628472</v>
      </c>
    </row>
    <row r="77" customFormat="false" ht="15" hidden="false" customHeight="false" outlineLevel="0" collapsed="false">
      <c r="A77" s="0" t="s">
        <v>90</v>
      </c>
      <c r="B77" s="6" t="n">
        <v>99.97</v>
      </c>
      <c r="C77" s="6" t="n">
        <v>99.03</v>
      </c>
      <c r="D77" s="6" t="n">
        <v>107.28</v>
      </c>
      <c r="E77" s="6" t="n">
        <v>1801.8</v>
      </c>
      <c r="F77" s="7" t="n">
        <f aca="false">B77/B$17*100</f>
        <v>115.119760479042</v>
      </c>
      <c r="G77" s="7" t="n">
        <f aca="false">C77/C$17*100</f>
        <v>122.942271880819</v>
      </c>
      <c r="H77" s="7" t="n">
        <f aca="false">D77/D$17*100</f>
        <v>137.467965146079</v>
      </c>
      <c r="I77" s="7" t="n">
        <f aca="false">(E77/E$17)/(B77/B$17)*100</f>
        <v>101.671581881471</v>
      </c>
    </row>
    <row r="78" customFormat="false" ht="15" hidden="false" customHeight="false" outlineLevel="0" collapsed="false">
      <c r="A78" s="0" t="s">
        <v>91</v>
      </c>
      <c r="B78" s="6" t="n">
        <v>99.57</v>
      </c>
      <c r="C78" s="6" t="n">
        <v>98.96</v>
      </c>
      <c r="D78" s="6" t="n">
        <v>102.32</v>
      </c>
      <c r="E78" s="6" t="n">
        <v>1801.8</v>
      </c>
      <c r="F78" s="7" t="n">
        <f aca="false">B78/B$17*100</f>
        <v>114.659143251958</v>
      </c>
      <c r="G78" s="7" t="n">
        <f aca="false">C78/C$17*100</f>
        <v>122.855369335816</v>
      </c>
      <c r="H78" s="7" t="n">
        <f aca="false">D78/D$17*100</f>
        <v>131.112250128139</v>
      </c>
      <c r="I78" s="7" t="n">
        <f aca="false">(E78/E$17)/(B78/B$17)*100</f>
        <v>102.080024512309</v>
      </c>
    </row>
    <row r="79" customFormat="false" ht="15" hidden="false" customHeight="false" outlineLevel="0" collapsed="false">
      <c r="A79" s="0" t="s">
        <v>92</v>
      </c>
      <c r="B79" s="6" t="n">
        <v>99.52</v>
      </c>
      <c r="C79" s="6" t="n">
        <v>99.22</v>
      </c>
      <c r="D79" s="6" t="n">
        <v>100.78</v>
      </c>
      <c r="E79" s="6" t="n">
        <v>1801.8</v>
      </c>
      <c r="F79" s="7" t="n">
        <f aca="false">B79/B$17*100</f>
        <v>114.601566098572</v>
      </c>
      <c r="G79" s="7" t="n">
        <f aca="false">C79/C$17*100</f>
        <v>123.178150217256</v>
      </c>
      <c r="H79" s="7" t="n">
        <f aca="false">D79/D$17*100</f>
        <v>129.138903126602</v>
      </c>
      <c r="I79" s="7" t="n">
        <f aca="false">(E79/E$17)/(B79/B$17)*100</f>
        <v>102.131310698258</v>
      </c>
    </row>
    <row r="80" customFormat="false" ht="15" hidden="false" customHeight="false" outlineLevel="0" collapsed="false">
      <c r="A80" s="0" t="s">
        <v>93</v>
      </c>
      <c r="B80" s="6" t="n">
        <v>99.73</v>
      </c>
      <c r="C80" s="6" t="n">
        <v>99.94</v>
      </c>
      <c r="D80" s="6" t="n">
        <v>99.16</v>
      </c>
      <c r="E80" s="6" t="n">
        <v>1801.8</v>
      </c>
      <c r="F80" s="7" t="n">
        <f aca="false">B80/B$17*100</f>
        <v>114.843390142791</v>
      </c>
      <c r="G80" s="7" t="n">
        <f aca="false">C80/C$17*100</f>
        <v>124.07200496586</v>
      </c>
      <c r="H80" s="7" t="n">
        <f aca="false">D80/D$17*100</f>
        <v>127.063044592517</v>
      </c>
      <c r="I80" s="7" t="n">
        <f aca="false">(E80/E$17)/(B80/B$17)*100</f>
        <v>101.916254293499</v>
      </c>
    </row>
    <row r="81" customFormat="false" ht="15" hidden="false" customHeight="false" outlineLevel="0" collapsed="false">
      <c r="A81" s="0" t="s">
        <v>94</v>
      </c>
      <c r="B81" s="6" t="n">
        <v>99.73</v>
      </c>
      <c r="C81" s="6" t="n">
        <v>100.39</v>
      </c>
      <c r="D81" s="6" t="n">
        <v>97.76</v>
      </c>
      <c r="E81" s="6" t="n">
        <v>1801.8</v>
      </c>
      <c r="F81" s="7" t="n">
        <f aca="false">B81/B$17*100</f>
        <v>114.843390142791</v>
      </c>
      <c r="G81" s="7" t="n">
        <f aca="false">C81/C$17*100</f>
        <v>124.630664183737</v>
      </c>
      <c r="H81" s="7" t="n">
        <f aca="false">D81/D$17*100</f>
        <v>125.269092772937</v>
      </c>
      <c r="I81" s="7" t="n">
        <f aca="false">(E81/E$17)/(B81/B$17)*100</f>
        <v>101.916254293499</v>
      </c>
    </row>
    <row r="82" customFormat="false" ht="15" hidden="false" customHeight="false" outlineLevel="0" collapsed="false">
      <c r="A82" s="0" t="s">
        <v>95</v>
      </c>
      <c r="B82" s="6" t="n">
        <v>100.01</v>
      </c>
      <c r="C82" s="6" t="n">
        <v>100.27</v>
      </c>
      <c r="D82" s="6" t="n">
        <v>98.4</v>
      </c>
      <c r="E82" s="6" t="n">
        <v>1801.8</v>
      </c>
      <c r="F82" s="7" t="n">
        <f aca="false">B82/B$17*100</f>
        <v>115.16582220175</v>
      </c>
      <c r="G82" s="7" t="n">
        <f aca="false">C82/C$17*100</f>
        <v>124.481688392303</v>
      </c>
      <c r="H82" s="7" t="n">
        <f aca="false">D82/D$17*100</f>
        <v>126.089185033316</v>
      </c>
      <c r="I82" s="7" t="n">
        <f aca="false">(E82/E$17)/(B82/B$17)*100</f>
        <v>101.630917315175</v>
      </c>
    </row>
    <row r="83" customFormat="false" ht="15" hidden="false" customHeight="false" outlineLevel="0" collapsed="false">
      <c r="A83" s="0" t="s">
        <v>96</v>
      </c>
      <c r="B83" s="6" t="n">
        <v>100.17</v>
      </c>
      <c r="C83" s="6" t="n">
        <v>100.32</v>
      </c>
      <c r="D83" s="6" t="n">
        <v>99.23</v>
      </c>
      <c r="E83" s="6" t="n">
        <v>1801.8</v>
      </c>
      <c r="F83" s="7" t="n">
        <f aca="false">B83/B$17*100</f>
        <v>115.350069092584</v>
      </c>
      <c r="G83" s="7" t="n">
        <f aca="false">C83/C$17*100</f>
        <v>124.543761638734</v>
      </c>
      <c r="H83" s="7" t="n">
        <f aca="false">D83/D$17*100</f>
        <v>127.152742183496</v>
      </c>
      <c r="I83" s="7" t="n">
        <f aca="false">(E83/E$17)/(B83/B$17)*100</f>
        <v>101.468583814422</v>
      </c>
    </row>
    <row r="84" customFormat="false" ht="15" hidden="false" customHeight="false" outlineLevel="0" collapsed="false">
      <c r="A84" s="0" t="s">
        <v>97</v>
      </c>
      <c r="B84" s="6" t="n">
        <v>100.2</v>
      </c>
      <c r="C84" s="6" t="n">
        <v>100.62</v>
      </c>
      <c r="D84" s="6" t="n">
        <v>99.05</v>
      </c>
      <c r="E84" s="6" t="n">
        <v>1801.8</v>
      </c>
      <c r="F84" s="7" t="n">
        <f aca="false">B84/B$17*100</f>
        <v>115.384615384615</v>
      </c>
      <c r="G84" s="7" t="n">
        <f aca="false">C84/C$17*100</f>
        <v>124.916201117318</v>
      </c>
      <c r="H84" s="7" t="n">
        <f aca="false">D84/D$17*100</f>
        <v>126.922091235264</v>
      </c>
      <c r="I84" s="7" t="n">
        <f aca="false">(E84/E$17)/(B84/B$17)*100</f>
        <v>101.438203998909</v>
      </c>
    </row>
    <row r="85" customFormat="false" ht="15" hidden="false" customHeight="false" outlineLevel="0" collapsed="false">
      <c r="A85" s="0" t="s">
        <v>98</v>
      </c>
      <c r="B85" s="6" t="n">
        <v>100.24</v>
      </c>
      <c r="C85" s="6" t="n">
        <v>100.42</v>
      </c>
      <c r="D85" s="6" t="n">
        <v>99.06</v>
      </c>
      <c r="E85" s="6" t="n">
        <v>1801.8</v>
      </c>
      <c r="F85" s="7" t="n">
        <f aca="false">B85/B$17*100</f>
        <v>115.430677107324</v>
      </c>
      <c r="G85" s="7" t="n">
        <f aca="false">C85/C$17*100</f>
        <v>124.667908131595</v>
      </c>
      <c r="H85" s="7" t="n">
        <f aca="false">D85/D$17*100</f>
        <v>126.934905176832</v>
      </c>
      <c r="I85" s="7" t="n">
        <f aca="false">(E85/E$17)/(B85/B$17)*100</f>
        <v>101.397725864831</v>
      </c>
    </row>
    <row r="86" customFormat="false" ht="15" hidden="false" customHeight="false" outlineLevel="0" collapsed="false">
      <c r="A86" s="0" t="s">
        <v>99</v>
      </c>
      <c r="B86" s="6" t="n">
        <v>100.23</v>
      </c>
      <c r="C86" s="6" t="n">
        <v>100.2</v>
      </c>
      <c r="D86" s="6" t="n">
        <v>98.64</v>
      </c>
      <c r="E86" s="6" t="n">
        <v>1801.8</v>
      </c>
      <c r="F86" s="7" t="n">
        <f aca="false">B86/B$17*100</f>
        <v>115.419161676647</v>
      </c>
      <c r="G86" s="7" t="n">
        <f aca="false">C86/C$17*100</f>
        <v>124.3947858473</v>
      </c>
      <c r="H86" s="7" t="n">
        <f aca="false">D86/D$17*100</f>
        <v>126.396719630958</v>
      </c>
      <c r="I86" s="7" t="n">
        <f aca="false">(E86/E$17)/(B86/B$17)*100</f>
        <v>101.407842369457</v>
      </c>
    </row>
    <row r="87" customFormat="false" ht="15" hidden="false" customHeight="false" outlineLevel="0" collapsed="false">
      <c r="A87" s="0" t="s">
        <v>100</v>
      </c>
      <c r="B87" s="6" t="n">
        <v>100.29</v>
      </c>
      <c r="C87" s="6" t="n">
        <v>100.22</v>
      </c>
      <c r="D87" s="6" t="n">
        <v>100.01</v>
      </c>
      <c r="E87" s="6" t="n">
        <v>1801.8</v>
      </c>
      <c r="F87" s="7" t="n">
        <f aca="false">B87/B$17*100</f>
        <v>115.488254260709</v>
      </c>
      <c r="G87" s="7" t="n">
        <f aca="false">C87/C$17*100</f>
        <v>124.419615145872</v>
      </c>
      <c r="H87" s="7" t="n">
        <f aca="false">D87/D$17*100</f>
        <v>128.152229625833</v>
      </c>
      <c r="I87" s="7" t="n">
        <f aca="false">(E87/E$17)/(B87/B$17)*100</f>
        <v>101.347173603456</v>
      </c>
    </row>
    <row r="88" customFormat="false" ht="15" hidden="false" customHeight="false" outlineLevel="0" collapsed="false">
      <c r="A88" s="0" t="s">
        <v>101</v>
      </c>
      <c r="B88" s="6" t="n">
        <v>100.35</v>
      </c>
      <c r="C88" s="6" t="n">
        <v>100.39</v>
      </c>
      <c r="D88" s="6" t="n">
        <v>98.3</v>
      </c>
      <c r="E88" s="6" t="n">
        <v>1801.8</v>
      </c>
      <c r="F88" s="7" t="n">
        <f aca="false">B88/B$17*100</f>
        <v>115.557346844772</v>
      </c>
      <c r="G88" s="7" t="n">
        <f aca="false">C88/C$17*100</f>
        <v>124.630664183737</v>
      </c>
      <c r="H88" s="7" t="n">
        <f aca="false">D88/D$17*100</f>
        <v>125.961045617632</v>
      </c>
      <c r="I88" s="7" t="n">
        <f aca="false">(E88/E$17)/(B88/B$17)*100</f>
        <v>101.286577386055</v>
      </c>
    </row>
    <row r="89" customFormat="false" ht="15" hidden="false" customHeight="false" outlineLevel="0" collapsed="false">
      <c r="A89" s="0" t="s">
        <v>102</v>
      </c>
      <c r="B89" s="6" t="n">
        <v>100.26</v>
      </c>
      <c r="C89" s="6" t="n">
        <v>100.87</v>
      </c>
      <c r="D89" s="6" t="n">
        <v>99.17</v>
      </c>
      <c r="E89" s="6" t="n">
        <v>1823.03</v>
      </c>
      <c r="F89" s="7" t="n">
        <f aca="false">B89/B$17*100</f>
        <v>115.453707968678</v>
      </c>
      <c r="G89" s="7" t="n">
        <f aca="false">C89/C$17*100</f>
        <v>125.226567349472</v>
      </c>
      <c r="H89" s="7" t="n">
        <f aca="false">D89/D$17*100</f>
        <v>127.075858534085</v>
      </c>
      <c r="I89" s="7" t="n">
        <f aca="false">(E89/E$17)/(B89/B$17)*100</f>
        <v>102.571995691767</v>
      </c>
    </row>
    <row r="90" customFormat="false" ht="15" hidden="false" customHeight="false" outlineLevel="0" collapsed="false">
      <c r="A90" s="0" t="s">
        <v>103</v>
      </c>
      <c r="B90" s="6" t="n">
        <v>100.46</v>
      </c>
      <c r="C90" s="6" t="n">
        <v>100.9</v>
      </c>
      <c r="D90" s="6" t="n">
        <v>99.46</v>
      </c>
      <c r="E90" s="6" t="n">
        <v>1823.03</v>
      </c>
      <c r="F90" s="7" t="n">
        <f aca="false">B90/B$17*100</f>
        <v>115.68401658222</v>
      </c>
      <c r="G90" s="7" t="n">
        <f aca="false">C90/C$17*100</f>
        <v>125.263811297331</v>
      </c>
      <c r="H90" s="7" t="n">
        <f aca="false">D90/D$17*100</f>
        <v>127.447462839569</v>
      </c>
      <c r="I90" s="7" t="n">
        <f aca="false">(E90/E$17)/(B90/B$17)*100</f>
        <v>102.367791041773</v>
      </c>
    </row>
    <row r="91" customFormat="false" ht="15" hidden="false" customHeight="false" outlineLevel="0" collapsed="false">
      <c r="A91" s="0" t="s">
        <v>104</v>
      </c>
      <c r="B91" s="6" t="n">
        <v>101.22</v>
      </c>
      <c r="C91" s="6" t="n">
        <v>100.99</v>
      </c>
      <c r="D91" s="6" t="n">
        <v>108.49</v>
      </c>
      <c r="E91" s="6" t="n">
        <v>1823.03</v>
      </c>
      <c r="F91" s="7" t="n">
        <f aca="false">B91/B$17*100</f>
        <v>116.55918931368</v>
      </c>
      <c r="G91" s="7" t="n">
        <f aca="false">C91/C$17*100</f>
        <v>125.375543140906</v>
      </c>
      <c r="H91" s="7" t="n">
        <f aca="false">D91/D$17*100</f>
        <v>139.018452075859</v>
      </c>
      <c r="I91" s="7" t="n">
        <f aca="false">(E91/E$17)/(B91/B$17)*100</f>
        <v>101.599172970327</v>
      </c>
    </row>
    <row r="92" customFormat="false" ht="15" hidden="false" customHeight="false" outlineLevel="0" collapsed="false">
      <c r="A92" s="0" t="s">
        <v>105</v>
      </c>
      <c r="B92" s="6" t="n">
        <v>101.88</v>
      </c>
      <c r="C92" s="6" t="n">
        <v>101.18</v>
      </c>
      <c r="D92" s="6" t="n">
        <v>113.39</v>
      </c>
      <c r="E92" s="6" t="n">
        <v>1823.03</v>
      </c>
      <c r="F92" s="7" t="n">
        <f aca="false">B92/B$17*100</f>
        <v>117.319207738369</v>
      </c>
      <c r="G92" s="7" t="n">
        <f aca="false">C92/C$17*100</f>
        <v>125.611421477343</v>
      </c>
      <c r="H92" s="7" t="n">
        <f aca="false">D92/D$17*100</f>
        <v>145.297283444388</v>
      </c>
      <c r="I92" s="7" t="n">
        <f aca="false">(E92/E$17)/(B92/B$17)*100</f>
        <v>100.940992226703</v>
      </c>
    </row>
    <row r="93" customFormat="false" ht="15" hidden="false" customHeight="false" outlineLevel="0" collapsed="false">
      <c r="A93" s="0" t="s">
        <v>106</v>
      </c>
      <c r="B93" s="6" t="n">
        <v>102.16</v>
      </c>
      <c r="C93" s="6" t="n">
        <v>101.49</v>
      </c>
      <c r="D93" s="6" t="n">
        <v>113.96</v>
      </c>
      <c r="E93" s="6" t="n">
        <v>1823.03</v>
      </c>
      <c r="F93" s="7" t="n">
        <f aca="false">B93/B$17*100</f>
        <v>117.641639797328</v>
      </c>
      <c r="G93" s="7" t="n">
        <f aca="false">C93/C$17*100</f>
        <v>125.996275605214</v>
      </c>
      <c r="H93" s="7" t="n">
        <f aca="false">D93/D$17*100</f>
        <v>146.027678113788</v>
      </c>
      <c r="I93" s="7" t="n">
        <f aca="false">(E93/E$17)/(B93/B$17)*100</f>
        <v>100.664333281681</v>
      </c>
    </row>
    <row r="94" customFormat="false" ht="15" hidden="false" customHeight="false" outlineLevel="0" collapsed="false">
      <c r="A94" s="0" t="s">
        <v>107</v>
      </c>
      <c r="B94" s="6" t="n">
        <v>101.78</v>
      </c>
      <c r="C94" s="6" t="n">
        <v>101.14</v>
      </c>
      <c r="D94" s="6" t="n">
        <v>109.13</v>
      </c>
      <c r="E94" s="6" t="n">
        <v>1867.02</v>
      </c>
      <c r="F94" s="7" t="n">
        <f aca="false">B94/B$17*100</f>
        <v>117.204053431598</v>
      </c>
      <c r="G94" s="7" t="n">
        <f aca="false">C94/C$17*100</f>
        <v>125.561762880199</v>
      </c>
      <c r="H94" s="7" t="n">
        <f aca="false">D94/D$17*100</f>
        <v>139.838544336238</v>
      </c>
      <c r="I94" s="7" t="n">
        <f aca="false">(E94/E$17)/(B94/B$17)*100</f>
        <v>103.478283000216</v>
      </c>
    </row>
    <row r="95" customFormat="false" ht="15" hidden="false" customHeight="false" outlineLevel="0" collapsed="false">
      <c r="A95" s="0" t="s">
        <v>108</v>
      </c>
      <c r="B95" s="6" t="n">
        <v>102.27</v>
      </c>
      <c r="C95" s="6" t="n">
        <v>101.29</v>
      </c>
      <c r="D95" s="6" t="n">
        <v>111.84</v>
      </c>
      <c r="E95" s="6" t="n">
        <v>1867.02</v>
      </c>
      <c r="F95" s="7" t="n">
        <f aca="false">B95/B$17*100</f>
        <v>117.768309534777</v>
      </c>
      <c r="G95" s="7" t="n">
        <f aca="false">C95/C$17*100</f>
        <v>125.747982619491</v>
      </c>
      <c r="H95" s="7" t="n">
        <f aca="false">D95/D$17*100</f>
        <v>143.311122501281</v>
      </c>
      <c r="I95" s="7" t="n">
        <f aca="false">(E95/E$17)/(B95/B$17)*100</f>
        <v>102.98249382773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109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109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2026-10-07T19:58:58Z</dcterms:created>
  <dc:creator>openpyxl</dc:creator>
  <dc:description/>
  <dc:language>en-US</dc:language>
  <cp:lastModifiedBy/>
  <dcterms:modified xsi:type="dcterms:W3CDTF">2026-10-07T19:59:00Z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