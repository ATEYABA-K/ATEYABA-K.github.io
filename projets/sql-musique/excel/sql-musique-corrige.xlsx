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ez-moi" sheetId="1" state="visible" r:id="rId3"/>
    <sheet name="Genres" sheetId="2" state="visible" r:id="rId4"/>
    <sheet name="Cumul" sheetId="3" state="visible" r:id="rId5"/>
    <sheet name="Clients" sheetId="4" state="visible" r:id="rId6"/>
    <sheet name="Requetes" sheetId="5" state="visible" r:id="rId7"/>
    <sheet name="G1 Genres" sheetId="6" state="visible" r:id="rId8"/>
    <sheet name="G2 Cumul" sheetId="7" state="visible" r:id="rId9"/>
    <sheet name="G3 Clients" sheetId="8" state="visible" r:id="rId10"/>
  </sheets>
  <definedNames>
    <definedName function="false" hidden="false" localSheetId="5" name="_xlnm.Print_Area" vbProcedure="false">'G1 Genres'!$A$1:$O$28</definedName>
    <definedName function="false" hidden="false" localSheetId="6" name="_xlnm.Print_Area" vbProcedure="false">'G2 Cumul'!$A$1:$O$28</definedName>
    <definedName function="false" hidden="false" localSheetId="7" name="_xlnm.Print_Area" vbProcedure="false">'G3 Clients'!$A$1:$O$28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<sst xmlns="http://schemas.openxmlformats.org/spreadsheetml/2006/main" count="135" uniqueCount="127">
  <si>
    <t xml:space="preserve">Analyse SQL des ventes d'un magasin de musique · CORRIGÉ</t>
  </si>
  <si>
    <t xml:space="preserve">Corrigé : formules en place, et chaque graphique a son onglet G. Ce sont ces graphiques qui sont sur le site.</t>
  </si>
  <si>
    <t xml:space="preserve">Outil : les requêtes se lancent dans DB Browser for SQLite (gratuit), puis on colle le résultat dans Excel. Voir le tuto.</t>
  </si>
  <si>
    <t xml:space="preserve">Les onglets</t>
  </si>
  <si>
    <t xml:space="preserve">• Genres, Cumul, Clients : le résultat de chaque requête SQL, collé tel quel.</t>
  </si>
  <si>
    <t xml:space="preserve">• Requetes : le texte des requêtes.</t>
  </si>
  <si>
    <t xml:space="preserve">• G1 à G3 : les graphiques.</t>
  </si>
  <si>
    <t xml:space="preserve">Source : base Chinook (jeu public), via le dépôt analyse-sql-ventes-musique.</t>
  </si>
  <si>
    <t xml:space="preserve">Chiffre d'affaires par genre (top 10)</t>
  </si>
  <si>
    <t xml:space="preserve">Résultat de la requête, exporté de DB Browser for SQLite (Fichier → Exporter → Table vers CSV).</t>
  </si>
  <si>
    <t xml:space="preserve">CA total du magasin :</t>
  </si>
  <si>
    <t xml:space="preserve">genre</t>
  </si>
  <si>
    <t xml:space="preserve">ca_total</t>
  </si>
  <si>
    <t xml:space="preserve">Part du CA total</t>
  </si>
  <si>
    <t xml:space="preserve">Rock</t>
  </si>
  <si>
    <t xml:space="preserve">Latin</t>
  </si>
  <si>
    <t xml:space="preserve">Metal</t>
  </si>
  <si>
    <t xml:space="preserve">Alternative &amp; Punk</t>
  </si>
  <si>
    <t xml:space="preserve">TV Shows</t>
  </si>
  <si>
    <t xml:space="preserve">Jazz</t>
  </si>
  <si>
    <t xml:space="preserve">Blues</t>
  </si>
  <si>
    <t xml:space="preserve">Drama</t>
  </si>
  <si>
    <t xml:space="preserve">R&amp;B/Soul</t>
  </si>
  <si>
    <t xml:space="preserve">Classical</t>
  </si>
  <si>
    <t xml:space="preserve">Chiffre d'affaires cumulé mois par mois (fonction fenêtre)</t>
  </si>
  <si>
    <t xml:space="preserve">mois</t>
  </si>
  <si>
    <t xml:space="preserve">ca_du_mois</t>
  </si>
  <si>
    <t xml:space="preserve">ca_cumule</t>
  </si>
  <si>
    <t xml:space="preserve">2021-01</t>
  </si>
  <si>
    <t xml:space="preserve">2021-02</t>
  </si>
  <si>
    <t xml:space="preserve">2021-03</t>
  </si>
  <si>
    <t xml:space="preserve">2021-04</t>
  </si>
  <si>
    <t xml:space="preserve">2021-05</t>
  </si>
  <si>
    <t xml:space="preserve">2021-06</t>
  </si>
  <si>
    <t xml:space="preserve">2021-07</t>
  </si>
  <si>
    <t xml:space="preserve">2021-08</t>
  </si>
  <si>
    <t xml:space="preserve">2021-09</t>
  </si>
  <si>
    <t xml:space="preserve">2021-10</t>
  </si>
  <si>
    <t xml:space="preserve">2021-11</t>
  </si>
  <si>
    <t xml:space="preserve">2021-12</t>
  </si>
  <si>
    <t xml:space="preserve">2022-01</t>
  </si>
  <si>
    <t xml:space="preserve">2022-02</t>
  </si>
  <si>
    <t xml:space="preserve">2022-03</t>
  </si>
  <si>
    <t xml:space="preserve">2022-04</t>
  </si>
  <si>
    <t xml:space="preserve">2022-05</t>
  </si>
  <si>
    <t xml:space="preserve">2022-06</t>
  </si>
  <si>
    <t xml:space="preserve">2022-07</t>
  </si>
  <si>
    <t xml:space="preserve">2022-08</t>
  </si>
  <si>
    <t xml:space="preserve">2022-09</t>
  </si>
  <si>
    <t xml:space="preserve">2022-10</t>
  </si>
  <si>
    <t xml:space="preserve">2022-11</t>
  </si>
  <si>
    <t xml:space="preserve">2022-12</t>
  </si>
  <si>
    <t xml:space="preserve">2023-01</t>
  </si>
  <si>
    <t xml:space="preserve">2023-02</t>
  </si>
  <si>
    <t xml:space="preserve">2023-03</t>
  </si>
  <si>
    <t xml:space="preserve">2023-04</t>
  </si>
  <si>
    <t xml:space="preserve">2023-05</t>
  </si>
  <si>
    <t xml:space="preserve">2023-06</t>
  </si>
  <si>
    <t xml:space="preserve">2023-07</t>
  </si>
  <si>
    <t xml:space="preserve">2023-08</t>
  </si>
  <si>
    <t xml:space="preserve">2023-09</t>
  </si>
  <si>
    <t xml:space="preserve">2023-10</t>
  </si>
  <si>
    <t xml:space="preserve">2023-11</t>
  </si>
  <si>
    <t xml:space="preserve">2023-12</t>
  </si>
  <si>
    <t xml:space="preserve">2024-01</t>
  </si>
  <si>
    <t xml:space="preserve">2024-02</t>
  </si>
  <si>
    <t xml:space="preserve">2024-03</t>
  </si>
  <si>
    <t xml:space="preserve">2024-04</t>
  </si>
  <si>
    <t xml:space="preserve">2024-05</t>
  </si>
  <si>
    <t xml:space="preserve">2024-06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</si>
  <si>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</si>
  <si>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</si>
  <si>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</si>
  <si>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</si>
  <si>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</si>
  <si>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</si>
  <si>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</si>
  <si>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</si>
  <si>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</si>
  <si>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</si>
  <si>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</si>
  <si>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</si>
  <si>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</si>
  <si>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</si>
  <si>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</si>
  <si>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</si>
  <si>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</si>
  <si>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</si>
  <si>
    <t xml:space="preserve">Top 10 des clients</t>
  </si>
  <si>
    <t xml:space="preserve">client</t>
  </si>
  <si>
    <t xml:space="preserve">pays</t>
  </si>
  <si>
    <t xml:space="preserve">Helena Holý</t>
  </si>
  <si>
    <t xml:space="preserve">Czech Republic</t>
  </si>
  <si>
    <t xml:space="preserve">Richard Cunningham</t>
  </si>
  <si>
    <t xml:space="preserve">USA</t>
  </si>
  <si>
    <t xml:space="preserve">Luis Rojas</t>
  </si>
  <si>
    <t xml:space="preserve">Chile</t>
  </si>
  <si>
    <t xml:space="preserve">Ladislav Kovács</t>
  </si>
  <si>
    <t xml:space="preserve">Hungary</t>
  </si>
  <si>
    <t xml:space="preserve">Hugh O'Reilly</t>
  </si>
  <si>
    <t xml:space="preserve">Ireland</t>
  </si>
  <si>
    <t xml:space="preserve">Frank Ralston</t>
  </si>
  <si>
    <t xml:space="preserve">Julia Barnett</t>
  </si>
  <si>
    <t xml:space="preserve">Fynn Zimmermann</t>
  </si>
  <si>
    <t xml:space="preserve">Germany</t>
  </si>
  <si>
    <t xml:space="preserve">Astrid Gruber</t>
  </si>
  <si>
    <t xml:space="preserve">Austria</t>
  </si>
  <si>
    <t xml:space="preserve">Victor Stevens</t>
  </si>
  <si>
    <t xml:space="preserve">Les requêtes SQL</t>
  </si>
  <si>
    <t xml:space="preserve">À copier dans l'onglet « Exécuter le SQL » de DB Browser for SQLite.</t>
  </si>
  <si>
    <t xml:space="preserve">-- Chiffre d'affaires par genre (top 10)</t>
  </si>
  <si>
    <t xml:space="preserve">SELECT g.Name AS genre, ROUND(SUM(il.UnitPrice * il.Quantity), 2) AS ca_total</t>
  </si>
  <si>
    <t xml:space="preserve">FROM InvoiceLine il</t>
  </si>
  <si>
    <t xml:space="preserve">JOIN Track t ON t.TrackId = il.TrackId</t>
  </si>
  <si>
    <t xml:space="preserve">JOIN Genre g ON g.GenreId = t.GenreId</t>
  </si>
  <si>
    <t xml:space="preserve">GROUP BY g.Name ORDER BY ca_total DESC LIMIT 10;</t>
  </si>
  <si>
    <t xml:space="preserve">-- Chiffre d'affaires cumulé mois par mois (fonction fenêtre)</t>
  </si>
  <si>
    <t xml:space="preserve">WITH ca_mensuel AS (</t>
  </si>
  <si>
    <t xml:space="preserve">  SELECT strftime('%Y-%m', InvoiceDate) AS mois, ROUND(SUM(Total), 2) AS ca_du_mois</t>
  </si>
  <si>
    <t xml:space="preserve">  FROM Invoice GROUP BY mois)</t>
  </si>
  <si>
    <t xml:space="preserve">SELECT mois, ca_du_mois, ROUND(SUM(ca_du_mois) OVER (ORDER BY mois), 2) AS ca_cumule</t>
  </si>
  <si>
    <t xml:space="preserve">FROM ca_mensuel ORDER BY mois;</t>
  </si>
  <si>
    <t xml:space="preserve">-- Top 10 des clients</t>
  </si>
  <si>
    <t xml:space="preserve">SELECT c.FirstName || ' ' || c.LastName AS client, c.Country AS pays, ROUND(SUM(i.Total), 2) AS ca_total</t>
  </si>
  <si>
    <t xml:space="preserve">FROM Customer c JOIN Invoice i ON i.CustomerId = c.CustomerId</t>
  </si>
  <si>
    <t xml:space="preserve">GROUP BY c.CustomerId ORDER BY ca_total DESC LIMIT 10;</t>
  </si>
  <si>
    <t xml:space="preserve"> 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</si>
</sst>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"/>
    <numFmt numFmtId="166" formatCode="0.0%"/>
    <numFmt numFmtId="167" formatCode="#,##0"/>
    <numFmt numFmtId="168" formatCode="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Courier New"/>
      <family val="0"/>
      <charset val="1"/>
    </font>
    <font>
      <b val="true"/>
      <sz val="14"/>
      <color rgb="FF1B1F27"/>
      <name val="Calibri"/>
      <family val="2"/>
    </font>
    <font>
      <b val="true"/>
      <sz val="9"/>
      <color rgb="FF1B1F27"/>
      <name val="Calibri"/>
      <family val="2"/>
    </font>
    <font>
      <sz val="10"/>
      <color rgb="FF40404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DEDED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D9542B"/>
      <rgbColor rgb="FF666666"/>
      <rgbColor rgb="FF8FA0C2"/>
      <rgbColor rgb="FF1F3864"/>
      <rgbColor rgb="FF339966"/>
      <rgbColor rgb="FF003300"/>
      <rgbColor rgb="FF1B1F27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400" spc="-1" strike="noStrike">
                <a:solidFill>
                  <a:srgbClr val="1b1f27"/>
                </a:solidFill>
                <a:latin typeface="Calibri"/>
              </a:defRPr>
            </a:pPr>
            <a:r>
              <a:rPr b="1" sz="1400" spc="-1" strike="noStrike">
                <a:solidFill>
                  <a:srgbClr val="1b1f27"/>
                </a:solidFill>
                <a:latin typeface="Calibri"/>
              </a:rPr>
              <a:t>Chiffre d'affaires par genre musical (top 10)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Genres!B4</c:f>
              <c:strCache>
                <c:ptCount val="1"/>
                <c:pt idx="0">
                  <c:v>ca_total</c:v>
                </c:pt>
              </c:strCache>
            </c:strRef>
          </c:tx>
          <c:spPr>
            <a:solidFill>
              <a:srgbClr val="1f3864"/>
            </a:solidFill>
            <a:ln w="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d9542b"/>
              </a:solidFill>
              <a:ln w="0">
                <a:noFill/>
              </a:ln>
            </c:spPr>
          </c:dPt>
          <c:dPt>
            <c:idx val="1"/>
            <c:invertIfNegative val="0"/>
            <c:spPr>
              <a:solidFill>
                <a:srgbClr val="8fa0c2"/>
              </a:solidFill>
              <a:ln w="0">
                <a:noFill/>
              </a:ln>
            </c:spPr>
          </c:dPt>
          <c:dPt>
            <c:idx val="2"/>
            <c:invertIfNegative val="0"/>
            <c:spPr>
              <a:solidFill>
                <a:srgbClr val="8fa0c2"/>
              </a:solidFill>
              <a:ln w="0">
                <a:noFill/>
              </a:ln>
            </c:spPr>
          </c:dPt>
          <c:dPt>
            <c:idx val="3"/>
            <c:invertIfNegative val="0"/>
            <c:spPr>
              <a:solidFill>
                <a:srgbClr val="8fa0c2"/>
              </a:solidFill>
              <a:ln w="0">
                <a:noFill/>
              </a:ln>
            </c:spPr>
          </c:dPt>
          <c:dPt>
            <c:idx val="4"/>
            <c:invertIfNegative val="0"/>
            <c:spPr>
              <a:solidFill>
                <a:srgbClr val="8fa0c2"/>
              </a:solidFill>
              <a:ln w="0">
                <a:noFill/>
              </a:ln>
            </c:spPr>
          </c:dPt>
          <c:dPt>
            <c:idx val="5"/>
            <c:invertIfNegative val="0"/>
            <c:spPr>
              <a:solidFill>
                <a:srgbClr val="8fa0c2"/>
              </a:solidFill>
              <a:ln w="0">
                <a:noFill/>
              </a:ln>
            </c:spPr>
          </c:dPt>
          <c:dPt>
            <c:idx val="6"/>
            <c:invertIfNegative val="0"/>
            <c:spPr>
              <a:solidFill>
                <a:srgbClr val="8fa0c2"/>
              </a:solidFill>
              <a:ln w="0">
                <a:noFill/>
              </a:ln>
            </c:spPr>
          </c:dPt>
          <c:dPt>
            <c:idx val="7"/>
            <c:invertIfNegative val="0"/>
            <c:spPr>
              <a:solidFill>
                <a:srgbClr val="8fa0c2"/>
              </a:solidFill>
              <a:ln w="0">
                <a:noFill/>
              </a:ln>
            </c:spPr>
          </c:dPt>
          <c:dPt>
            <c:idx val="8"/>
            <c:invertIfNegative val="0"/>
            <c:spPr>
              <a:solidFill>
                <a:srgbClr val="8fa0c2"/>
              </a:solidFill>
              <a:ln w="0">
                <a:noFill/>
              </a:ln>
            </c:spPr>
          </c:dPt>
          <c:dPt>
            <c:idx val="9"/>
            <c:invertIfNegative val="0"/>
            <c:spPr>
              <a:solidFill>
                <a:srgbClr val="8fa0c2"/>
              </a:solidFill>
              <a:ln w="0">
                <a:noFill/>
              </a:ln>
            </c:spPr>
          </c:dPt>
          <c:dLbls>
            <c:numFmt formatCode="#,##0" sourceLinked="1"/>
            <c:dLbl>
              <c:idx val="0"/>
              <c:numFmt formatCode="#,##0" sourceLinked="1"/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1b1f27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numFmt formatCode="#,##0" sourceLinked="1"/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1b1f27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2"/>
              <c:numFmt formatCode="#,##0" sourceLinked="1"/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1b1f27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3"/>
              <c:numFmt formatCode="#,##0" sourceLinked="1"/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1b1f27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4"/>
              <c:numFmt formatCode="#,##0" sourceLinked="1"/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1b1f27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5"/>
              <c:numFmt formatCode="#,##0" sourceLinked="1"/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1b1f27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6"/>
              <c:numFmt formatCode="#,##0" sourceLinked="1"/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1b1f27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7"/>
              <c:numFmt formatCode="#,##0" sourceLinked="1"/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1b1f27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8"/>
              <c:numFmt formatCode="#,##0" sourceLinked="1"/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1b1f27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9"/>
              <c:numFmt formatCode="#,##0" sourceLinked="1"/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1b1f27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1" sz="900" spc="-1" strike="noStrike">
                    <a:solidFill>
                      <a:srgbClr val="1b1f27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Genres!$A$5:$A$14</c:f>
              <c:strCache>
                <c:ptCount val="10"/>
                <c:pt idx="0">
                  <c:v>Rock</c:v>
                </c:pt>
                <c:pt idx="1">
                  <c:v>Latin</c:v>
                </c:pt>
                <c:pt idx="2">
                  <c:v>Metal</c:v>
                </c:pt>
                <c:pt idx="3">
                  <c:v>Alternative &amp; Punk</c:v>
                </c:pt>
                <c:pt idx="4">
                  <c:v>TV Shows</c:v>
                </c:pt>
                <c:pt idx="5">
                  <c:v>Jazz</c:v>
                </c:pt>
                <c:pt idx="6">
                  <c:v>Blues</c:v>
                </c:pt>
                <c:pt idx="7">
                  <c:v>Drama</c:v>
                </c:pt>
                <c:pt idx="8">
                  <c:v>R&amp;B/Soul</c:v>
                </c:pt>
                <c:pt idx="9">
                  <c:v>Classical</c:v>
                </c:pt>
              </c:strCache>
            </c:strRef>
          </c:cat>
          <c:val>
            <c:numRef>
              <c:f>Genres!$B$5:$B$14</c:f>
              <c:numCache>
                <c:formatCode>#,##0.00</c:formatCode>
                <c:ptCount val="10"/>
                <c:pt idx="0">
                  <c:v>826.65</c:v>
                </c:pt>
                <c:pt idx="1">
                  <c:v>382.14</c:v>
                </c:pt>
                <c:pt idx="2">
                  <c:v>261.36</c:v>
                </c:pt>
                <c:pt idx="3">
                  <c:v>241.56</c:v>
                </c:pt>
                <c:pt idx="4">
                  <c:v>93.53</c:v>
                </c:pt>
                <c:pt idx="5">
                  <c:v>79.2</c:v>
                </c:pt>
                <c:pt idx="6">
                  <c:v>60.39</c:v>
                </c:pt>
                <c:pt idx="7">
                  <c:v>57.71</c:v>
                </c:pt>
                <c:pt idx="8">
                  <c:v>40.59</c:v>
                </c:pt>
                <c:pt idx="9">
                  <c:v>40.59</c:v>
                </c:pt>
              </c:numCache>
            </c:numRef>
          </c:val>
        </c:ser>
        <c:gapWidth val="50"/>
        <c:overlap val="0"/>
        <c:axId val="46797765"/>
        <c:axId val="83429008"/>
      </c:barChart>
      <c:catAx>
        <c:axId val="46797765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404040"/>
                </a:solidFill>
                <a:latin typeface="Calibri"/>
              </a:defRPr>
            </a:pPr>
          </a:p>
        </c:txPr>
        <c:crossAx val="83429008"/>
        <c:crosses val="autoZero"/>
        <c:auto val="1"/>
        <c:lblAlgn val="ctr"/>
        <c:lblOffset val="100"/>
        <c:noMultiLvlLbl val="0"/>
      </c:catAx>
      <c:valAx>
        <c:axId val="83429008"/>
        <c:scaling>
          <c:orientation val="minMax"/>
        </c:scaling>
        <c:delete val="0"/>
        <c:axPos val="l"/>
        <c:majorGridlines>
          <c:spPr>
            <a:ln w="9360">
              <a:solidFill>
                <a:srgbClr val="ededed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 (€)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404040"/>
                </a:solidFill>
                <a:latin typeface="Calibri"/>
              </a:defRPr>
            </a:pPr>
          </a:p>
        </c:txPr>
        <c:crossAx val="4679776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400" spc="-1" strike="noStrike">
                <a:solidFill>
                  <a:srgbClr val="1b1f27"/>
                </a:solidFill>
                <a:latin typeface="Calibri"/>
              </a:defRPr>
            </a:pPr>
            <a:r>
              <a:rPr b="1" sz="1400" spc="-1" strike="noStrike">
                <a:solidFill>
                  <a:srgbClr val="1b1f27"/>
                </a:solidFill>
                <a:latin typeface="Calibri"/>
              </a:rPr>
              <a:t>Chiffre d'affaires cumulé, mois par mois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Cumul!C4</c:f>
              <c:strCache>
                <c:ptCount val="1"/>
                <c:pt idx="0">
                  <c:v>ca_cumule</c:v>
                </c:pt>
              </c:strCache>
            </c:strRef>
          </c:tx>
          <c:spPr>
            <a:solidFill>
              <a:srgbClr val="1f3864"/>
            </a:solidFill>
            <a:ln w="31680">
              <a:solidFill>
                <a:srgbClr val="1f386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Cumul!$A$5:$A$64</c:f>
              <c:strCache>
                <c:ptCount val="60"/>
                <c:pt idx="0">
                  <c:v>2021-01</c:v>
                </c:pt>
                <c:pt idx="1">
                  <c:v>2021-02</c:v>
                </c:pt>
                <c:pt idx="2">
                  <c:v>2021-03</c:v>
                </c:pt>
                <c:pt idx="3">
                  <c:v>2021-04</c:v>
                </c:pt>
                <c:pt idx="4">
                  <c:v>2021-05</c:v>
                </c:pt>
                <c:pt idx="5">
                  <c:v>2021-06</c:v>
                </c:pt>
                <c:pt idx="6">
                  <c:v>2021-07</c:v>
                </c:pt>
                <c:pt idx="7">
                  <c:v>2021-08</c:v>
                </c:pt>
                <c:pt idx="8">
                  <c:v>2021-09</c:v>
                </c:pt>
                <c:pt idx="9">
                  <c:v>2021-10</c:v>
                </c:pt>
                <c:pt idx="10">
                  <c:v>2021-11</c:v>
                </c:pt>
                <c:pt idx="11">
                  <c:v>2021-12</c:v>
                </c:pt>
                <c:pt idx="12">
                  <c:v>2022-01</c:v>
                </c:pt>
                <c:pt idx="13">
                  <c:v>2022-02</c:v>
                </c:pt>
                <c:pt idx="14">
                  <c:v>2022-03</c:v>
                </c:pt>
                <c:pt idx="15">
                  <c:v>2022-04</c:v>
                </c:pt>
                <c:pt idx="16">
                  <c:v>2022-05</c:v>
                </c:pt>
                <c:pt idx="17">
                  <c:v>2022-06</c:v>
                </c:pt>
                <c:pt idx="18">
                  <c:v>2022-07</c:v>
                </c:pt>
                <c:pt idx="19">
                  <c:v>2022-08</c:v>
                </c:pt>
                <c:pt idx="20">
                  <c:v>2022-09</c:v>
                </c:pt>
                <c:pt idx="21">
                  <c:v>2022-10</c:v>
                </c:pt>
                <c:pt idx="22">
                  <c:v>2022-11</c:v>
                </c:pt>
                <c:pt idx="23">
                  <c:v>2022-12</c:v>
                </c:pt>
                <c:pt idx="24">
                  <c:v>2023-01</c:v>
                </c:pt>
                <c:pt idx="25">
                  <c:v>2023-02</c:v>
                </c:pt>
                <c:pt idx="26">
                  <c:v>2023-03</c:v>
                </c:pt>
                <c:pt idx="27">
                  <c:v>2023-04</c:v>
                </c:pt>
                <c:pt idx="28">
                  <c:v>2023-05</c:v>
                </c:pt>
                <c:pt idx="29">
                  <c:v>2023-06</c:v>
                </c:pt>
                <c:pt idx="30">
                  <c:v>2023-07</c:v>
                </c:pt>
                <c:pt idx="31">
                  <c:v>2023-08</c:v>
                </c:pt>
                <c:pt idx="32">
                  <c:v>2023-09</c:v>
                </c:pt>
                <c:pt idx="33">
                  <c:v>2023-10</c:v>
                </c:pt>
                <c:pt idx="34">
                  <c:v>2023-11</c:v>
                </c:pt>
                <c:pt idx="35">
                  <c:v>2023-12</c:v>
                </c:pt>
                <c:pt idx="36">
                  <c:v>2024-01</c:v>
                </c:pt>
                <c:pt idx="37">
                  <c:v>2024-02</c:v>
                </c:pt>
                <c:pt idx="38">
                  <c:v>2024-03</c:v>
                </c:pt>
                <c:pt idx="39">
                  <c:v>2024-04</c:v>
                </c:pt>
                <c:pt idx="40">
                  <c:v>2024-05</c:v>
                </c:pt>
                <c:pt idx="41">
                  <c:v>2024-06</c:v>
                </c:pt>
                <c:pt idx="42">
                  <c:v>2024-07</c:v>
                </c:pt>
                <c:pt idx="43">
                  <c:v>2024-08</c:v>
                </c:pt>
                <c:pt idx="44">
                  <c:v>2024-09</c:v>
                </c:pt>
                <c:pt idx="45">
                  <c:v>2024-10</c:v>
                </c:pt>
                <c:pt idx="46">
                  <c:v>2024-11</c:v>
                </c:pt>
                <c:pt idx="47">
                  <c:v>2024-12</c:v>
                </c:pt>
                <c:pt idx="48">
                  <c:v>2025-01</c:v>
                </c:pt>
                <c:pt idx="49">
                  <c:v>2025-02</c:v>
                </c:pt>
                <c:pt idx="50">
                  <c:v>2025-03</c:v>
                </c:pt>
                <c:pt idx="51">
                  <c:v>2025-04</c:v>
                </c:pt>
                <c:pt idx="52">
                  <c:v>2025-05</c:v>
                </c:pt>
                <c:pt idx="53">
                  <c:v>2025-06</c:v>
                </c:pt>
                <c:pt idx="54">
                  <c:v>2025-07</c:v>
                </c:pt>
                <c:pt idx="55">
                  <c:v>2025-08</c:v>
                </c:pt>
                <c:pt idx="56">
                  <c:v>2025-09</c:v>
                </c:pt>
                <c:pt idx="57">
                  <c:v>2025-10</c:v>
                </c:pt>
                <c:pt idx="58">
                  <c:v>2025-11</c:v>
                </c:pt>
                <c:pt idx="59">
                  <c:v>2025-12</c:v>
                </c:pt>
              </c:strCache>
            </c:strRef>
          </c:cat>
          <c:val>
            <c:numRef>
              <c:f>Cumul!$C$5:$C$64</c:f>
              <c:numCache>
                <c:formatCode>#,##0.00</c:formatCode>
                <c:ptCount val="60"/>
                <c:pt idx="0">
                  <c:v>35.64</c:v>
                </c:pt>
                <c:pt idx="1">
                  <c:v>73.26</c:v>
                </c:pt>
                <c:pt idx="2">
                  <c:v>110.88</c:v>
                </c:pt>
                <c:pt idx="3">
                  <c:v>148.5</c:v>
                </c:pt>
                <c:pt idx="4">
                  <c:v>186.12</c:v>
                </c:pt>
                <c:pt idx="5">
                  <c:v>223.74</c:v>
                </c:pt>
                <c:pt idx="6">
                  <c:v>261.36</c:v>
                </c:pt>
                <c:pt idx="7">
                  <c:v>298.98</c:v>
                </c:pt>
                <c:pt idx="8">
                  <c:v>336.6</c:v>
                </c:pt>
                <c:pt idx="9">
                  <c:v>374.22</c:v>
                </c:pt>
                <c:pt idx="10">
                  <c:v>411.84</c:v>
                </c:pt>
                <c:pt idx="11">
                  <c:v>449.46</c:v>
                </c:pt>
                <c:pt idx="12">
                  <c:v>502.08</c:v>
                </c:pt>
                <c:pt idx="13">
                  <c:v>548.7</c:v>
                </c:pt>
                <c:pt idx="14">
                  <c:v>593.32</c:v>
                </c:pt>
                <c:pt idx="15">
                  <c:v>630.94</c:v>
                </c:pt>
                <c:pt idx="16">
                  <c:v>668.56</c:v>
                </c:pt>
                <c:pt idx="17">
                  <c:v>706.18</c:v>
                </c:pt>
                <c:pt idx="18">
                  <c:v>743.8</c:v>
                </c:pt>
                <c:pt idx="19">
                  <c:v>781.42</c:v>
                </c:pt>
                <c:pt idx="20">
                  <c:v>818.05</c:v>
                </c:pt>
                <c:pt idx="21">
                  <c:v>855.67</c:v>
                </c:pt>
                <c:pt idx="22">
                  <c:v>893.29</c:v>
                </c:pt>
                <c:pt idx="23">
                  <c:v>930.91</c:v>
                </c:pt>
                <c:pt idx="24">
                  <c:v>968.53</c:v>
                </c:pt>
                <c:pt idx="25">
                  <c:v>1006.15</c:v>
                </c:pt>
                <c:pt idx="26">
                  <c:v>1043.77</c:v>
                </c:pt>
                <c:pt idx="27">
                  <c:v>1095.39</c:v>
                </c:pt>
                <c:pt idx="28">
                  <c:v>1138.01</c:v>
                </c:pt>
                <c:pt idx="29">
                  <c:v>1188.63</c:v>
                </c:pt>
                <c:pt idx="30">
                  <c:v>1226.25</c:v>
                </c:pt>
                <c:pt idx="31">
                  <c:v>1263.87</c:v>
                </c:pt>
                <c:pt idx="32">
                  <c:v>1301.49</c:v>
                </c:pt>
                <c:pt idx="33">
                  <c:v>1339.11</c:v>
                </c:pt>
                <c:pt idx="34">
                  <c:v>1362.87</c:v>
                </c:pt>
                <c:pt idx="35">
                  <c:v>1400.49</c:v>
                </c:pt>
                <c:pt idx="36">
                  <c:v>1438.11</c:v>
                </c:pt>
                <c:pt idx="37">
                  <c:v>1475.73</c:v>
                </c:pt>
                <c:pt idx="38">
                  <c:v>1513.35</c:v>
                </c:pt>
                <c:pt idx="39">
                  <c:v>1550.97</c:v>
                </c:pt>
                <c:pt idx="40">
                  <c:v>1588.59</c:v>
                </c:pt>
                <c:pt idx="41">
                  <c:v>1626.21</c:v>
                </c:pt>
                <c:pt idx="42">
                  <c:v>1665.83</c:v>
                </c:pt>
                <c:pt idx="43">
                  <c:v>1713.45</c:v>
                </c:pt>
                <c:pt idx="44">
                  <c:v>1760.16</c:v>
                </c:pt>
                <c:pt idx="45">
                  <c:v>1802.78</c:v>
                </c:pt>
                <c:pt idx="46">
                  <c:v>1840.4</c:v>
                </c:pt>
                <c:pt idx="47">
                  <c:v>1878.02</c:v>
                </c:pt>
                <c:pt idx="48">
                  <c:v>1915.64</c:v>
                </c:pt>
                <c:pt idx="49">
                  <c:v>1943.36</c:v>
                </c:pt>
                <c:pt idx="50">
                  <c:v>1980.98</c:v>
                </c:pt>
                <c:pt idx="51">
                  <c:v>2014.64</c:v>
                </c:pt>
                <c:pt idx="52">
                  <c:v>2052.26</c:v>
                </c:pt>
                <c:pt idx="53">
                  <c:v>2089.88</c:v>
                </c:pt>
                <c:pt idx="54">
                  <c:v>2127.5</c:v>
                </c:pt>
                <c:pt idx="55">
                  <c:v>2165.12</c:v>
                </c:pt>
                <c:pt idx="56">
                  <c:v>2202.74</c:v>
                </c:pt>
                <c:pt idx="57">
                  <c:v>2240.36</c:v>
                </c:pt>
                <c:pt idx="58">
                  <c:v>2289.98</c:v>
                </c:pt>
                <c:pt idx="59">
                  <c:v>2328.6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7347296"/>
        <c:axId val="404673"/>
      </c:lineChart>
      <c:catAx>
        <c:axId val="6734729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Mois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404040"/>
                </a:solidFill>
                <a:latin typeface="Calibri"/>
              </a:defRPr>
            </a:pPr>
          </a:p>
        </c:txPr>
        <c:crossAx val="404673"/>
        <c:crosses val="autoZero"/>
        <c:auto val="1"/>
        <c:lblAlgn val="ctr"/>
        <c:lblOffset val="100"/>
        <c:noMultiLvlLbl val="0"/>
      </c:catAx>
      <c:valAx>
        <c:axId val="404673"/>
        <c:scaling>
          <c:orientation val="minMax"/>
        </c:scaling>
        <c:delete val="0"/>
        <c:axPos val="l"/>
        <c:majorGridlines>
          <c:spPr>
            <a:ln w="9360">
              <a:solidFill>
                <a:srgbClr val="ededed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 cumulé (€)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404040"/>
                </a:solidFill>
                <a:latin typeface="Calibri"/>
              </a:defRPr>
            </a:pPr>
          </a:p>
        </c:txPr>
        <c:crossAx val="6734729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400" spc="-1" strike="noStrike">
                <a:solidFill>
                  <a:srgbClr val="1b1f27"/>
                </a:solidFill>
                <a:latin typeface="Calibri"/>
              </a:defRPr>
            </a:pPr>
            <a:r>
              <a:rPr b="1" sz="1400" spc="-1" strike="noStrike">
                <a:solidFill>
                  <a:srgbClr val="1b1f27"/>
                </a:solidFill>
                <a:latin typeface="Calibri"/>
              </a:rPr>
              <a:t>Top 10 des clients par chiffre d'affaires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Clients!C4</c:f>
              <c:strCache>
                <c:ptCount val="1"/>
                <c:pt idx="0">
                  <c:v>ca_total</c:v>
                </c:pt>
              </c:strCache>
            </c:strRef>
          </c:tx>
          <c:spPr>
            <a:solidFill>
              <a:srgbClr val="1f3864"/>
            </a:solidFill>
            <a:ln w="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1f3864"/>
              </a:solidFill>
              <a:ln w="0">
                <a:noFill/>
              </a:ln>
            </c:spPr>
          </c:dPt>
          <c:dPt>
            <c:idx val="1"/>
            <c:invertIfNegative val="0"/>
            <c:spPr>
              <a:solidFill>
                <a:srgbClr val="1f3864"/>
              </a:solidFill>
              <a:ln w="0">
                <a:noFill/>
              </a:ln>
            </c:spPr>
          </c:dPt>
          <c:dPt>
            <c:idx val="2"/>
            <c:invertIfNegative val="0"/>
            <c:spPr>
              <a:solidFill>
                <a:srgbClr val="1f3864"/>
              </a:solidFill>
              <a:ln w="0">
                <a:noFill/>
              </a:ln>
            </c:spPr>
          </c:dPt>
          <c:dPt>
            <c:idx val="3"/>
            <c:invertIfNegative val="0"/>
            <c:spPr>
              <a:solidFill>
                <a:srgbClr val="1f3864"/>
              </a:solidFill>
              <a:ln w="0">
                <a:noFill/>
              </a:ln>
            </c:spPr>
          </c:dPt>
          <c:dPt>
            <c:idx val="4"/>
            <c:invertIfNegative val="0"/>
            <c:spPr>
              <a:solidFill>
                <a:srgbClr val="1f3864"/>
              </a:solidFill>
              <a:ln w="0">
                <a:noFill/>
              </a:ln>
            </c:spPr>
          </c:dPt>
          <c:dPt>
            <c:idx val="5"/>
            <c:invertIfNegative val="0"/>
            <c:spPr>
              <a:solidFill>
                <a:srgbClr val="1f3864"/>
              </a:solidFill>
              <a:ln w="0">
                <a:noFill/>
              </a:ln>
            </c:spPr>
          </c:dPt>
          <c:dPt>
            <c:idx val="6"/>
            <c:invertIfNegative val="0"/>
            <c:spPr>
              <a:solidFill>
                <a:srgbClr val="1f3864"/>
              </a:solidFill>
              <a:ln w="0">
                <a:noFill/>
              </a:ln>
            </c:spPr>
          </c:dPt>
          <c:dPt>
            <c:idx val="7"/>
            <c:invertIfNegative val="0"/>
            <c:spPr>
              <a:solidFill>
                <a:srgbClr val="1f3864"/>
              </a:solidFill>
              <a:ln w="0">
                <a:noFill/>
              </a:ln>
            </c:spPr>
          </c:dPt>
          <c:dPt>
            <c:idx val="8"/>
            <c:invertIfNegative val="0"/>
            <c:spPr>
              <a:solidFill>
                <a:srgbClr val="1f3864"/>
              </a:solidFill>
              <a:ln w="0">
                <a:noFill/>
              </a:ln>
            </c:spPr>
          </c:dPt>
          <c:dPt>
            <c:idx val="9"/>
            <c:invertIfNegative val="0"/>
            <c:spPr>
              <a:solidFill>
                <a:srgbClr val="1f3864"/>
              </a:solidFill>
              <a:ln w="0">
                <a:noFill/>
              </a:ln>
            </c:spPr>
          </c:dPt>
          <c:dLbls>
            <c:numFmt formatCode="#,##0.00" sourceLinked="1"/>
            <c:dLbl>
              <c:idx val="0"/>
              <c:numFmt formatCode="#,##0.00" sourceLinked="1"/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1b1f27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numFmt formatCode="#,##0.00" sourceLinked="1"/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1b1f27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2"/>
              <c:numFmt formatCode="#,##0.00" sourceLinked="1"/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1b1f27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3"/>
              <c:numFmt formatCode="#,##0.00" sourceLinked="1"/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1b1f27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4"/>
              <c:numFmt formatCode="#,##0.00" sourceLinked="1"/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1b1f27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5"/>
              <c:numFmt formatCode="#,##0.00" sourceLinked="1"/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1b1f27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6"/>
              <c:numFmt formatCode="#,##0.00" sourceLinked="1"/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1b1f27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7"/>
              <c:numFmt formatCode="#,##0.00" sourceLinked="1"/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1b1f27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8"/>
              <c:numFmt formatCode="#,##0.00" sourceLinked="1"/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1b1f27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9"/>
              <c:numFmt formatCode="#,##0.00" sourceLinked="1"/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1b1f27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1" sz="900" spc="-1" strike="noStrike">
                    <a:solidFill>
                      <a:srgbClr val="1b1f27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Clients!$A$5:$A$14</c:f>
              <c:strCache>
                <c:ptCount val="10"/>
                <c:pt idx="0">
                  <c:v>Helena Holý</c:v>
                </c:pt>
                <c:pt idx="1">
                  <c:v>Richard Cunningham</c:v>
                </c:pt>
                <c:pt idx="2">
                  <c:v>Luis Rojas</c:v>
                </c:pt>
                <c:pt idx="3">
                  <c:v>Ladislav Kovács</c:v>
                </c:pt>
                <c:pt idx="4">
                  <c:v>Hugh O'Reilly</c:v>
                </c:pt>
                <c:pt idx="5">
                  <c:v>Frank Ralston</c:v>
                </c:pt>
                <c:pt idx="6">
                  <c:v>Julia Barnett</c:v>
                </c:pt>
                <c:pt idx="7">
                  <c:v>Fynn Zimmermann</c:v>
                </c:pt>
                <c:pt idx="8">
                  <c:v>Astrid Gruber</c:v>
                </c:pt>
                <c:pt idx="9">
                  <c:v>Victor Stevens</c:v>
                </c:pt>
              </c:strCache>
            </c:strRef>
          </c:cat>
          <c:val>
            <c:numRef>
              <c:f>Clients!$C$5:$C$14</c:f>
              <c:numCache>
                <c:formatCode>#,##0.00</c:formatCode>
                <c:ptCount val="10"/>
                <c:pt idx="0">
                  <c:v>49.62</c:v>
                </c:pt>
                <c:pt idx="1">
                  <c:v>47.62</c:v>
                </c:pt>
                <c:pt idx="2">
                  <c:v>46.62</c:v>
                </c:pt>
                <c:pt idx="3">
                  <c:v>45.62</c:v>
                </c:pt>
                <c:pt idx="4">
                  <c:v>45.62</c:v>
                </c:pt>
                <c:pt idx="5">
                  <c:v>43.62</c:v>
                </c:pt>
                <c:pt idx="6">
                  <c:v>43.62</c:v>
                </c:pt>
                <c:pt idx="7">
                  <c:v>43.62</c:v>
                </c:pt>
                <c:pt idx="8">
                  <c:v>42.62</c:v>
                </c:pt>
                <c:pt idx="9">
                  <c:v>42.62</c:v>
                </c:pt>
              </c:numCache>
            </c:numRef>
          </c:val>
        </c:ser>
        <c:gapWidth val="50"/>
        <c:overlap val="0"/>
        <c:axId val="98421202"/>
        <c:axId val="24393661"/>
      </c:barChart>
      <c:catAx>
        <c:axId val="98421202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404040"/>
                </a:solidFill>
                <a:latin typeface="Calibri"/>
              </a:defRPr>
            </a:pPr>
          </a:p>
        </c:txPr>
        <c:crossAx val="24393661"/>
        <c:crosses val="autoZero"/>
        <c:auto val="1"/>
        <c:lblAlgn val="ctr"/>
        <c:lblOffset val="100"/>
        <c:noMultiLvlLbl val="0"/>
      </c:catAx>
      <c:valAx>
        <c:axId val="24393661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ededed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 (€)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404040"/>
                </a:solidFill>
                <a:latin typeface="Calibri"/>
              </a:defRPr>
            </a:pPr>
          </a:p>
        </c:txPr>
        <c:crossAx val="9842120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14</xdr:col>
      <xdr:colOff>78480</xdr:colOff>
      <xdr:row>25</xdr:row>
      <xdr:rowOff>97200</xdr:rowOff>
    </xdr:to>
    <xdr:graphicFrame>
      <xdr:nvGraphicFramePr>
        <xdr:cNvPr id="0" name="Chart 1"/>
        <xdr:cNvGraphicFramePr/>
      </xdr:nvGraphicFramePr>
      <xdr:xfrm>
        <a:off x="0" y="0"/>
        <a:ext cx="8639640" cy="48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14</xdr:col>
      <xdr:colOff>78480</xdr:colOff>
      <xdr:row>25</xdr:row>
      <xdr:rowOff>97200</xdr:rowOff>
    </xdr:to>
    <xdr:graphicFrame>
      <xdr:nvGraphicFramePr>
        <xdr:cNvPr id="1" name="Chart 1"/>
        <xdr:cNvGraphicFramePr/>
      </xdr:nvGraphicFramePr>
      <xdr:xfrm>
        <a:off x="0" y="0"/>
        <a:ext cx="8639640" cy="48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14</xdr:col>
      <xdr:colOff>78480</xdr:colOff>
      <xdr:row>25</xdr:row>
      <xdr:rowOff>97200</xdr:rowOff>
    </xdr:to>
    <xdr:graphicFrame>
      <xdr:nvGraphicFramePr>
        <xdr:cNvPr id="2" name="Chart 1"/>
        <xdr:cNvGraphicFramePr/>
      </xdr:nvGraphicFramePr>
      <xdr:xfrm>
        <a:off x="0" y="0"/>
        <a:ext cx="8639640" cy="48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3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/>
    </row>
    <row r="11" customFormat="false" ht="15" hidden="false" customHeight="false" outlineLevel="0" collapsed="false">
      <c r="A11" s="2" t="s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3"/>
  </cols>
  <sheetData>
    <row r="1" customFormat="false" ht="17.35" hidden="false" customHeight="false" outlineLevel="0" collapsed="false">
      <c r="A1" s="1" t="s">
        <v>8</v>
      </c>
    </row>
    <row r="2" customFormat="false" ht="15" hidden="false" customHeight="false" outlineLevel="0" collapsed="false">
      <c r="A2" s="4" t="s">
        <v>9</v>
      </c>
      <c r="F2" s="3" t="s">
        <v>10</v>
      </c>
      <c r="G2" s="5" t="n">
        <v>2328.6</v>
      </c>
    </row>
    <row r="4" customFormat="false" ht="31.5" hidden="false" customHeight="true" outlineLevel="0" collapsed="false">
      <c r="A4" s="6" t="s">
        <v>11</v>
      </c>
      <c r="B4" s="6" t="s">
        <v>12</v>
      </c>
      <c r="D4" s="3" t="s">
        <v>13</v>
      </c>
    </row>
    <row r="5" customFormat="false" ht="15" hidden="false" customHeight="false" outlineLevel="0" collapsed="false">
      <c r="A5" s="0" t="s">
        <v>14</v>
      </c>
      <c r="B5" s="5" t="n">
        <v>826.65</v>
      </c>
      <c r="D5" s="7" t="n">
        <f aca="false">B5/$G$2</f>
        <v>0.354998711672249</v>
      </c>
    </row>
    <row r="6" customFormat="false" ht="15" hidden="false" customHeight="false" outlineLevel="0" collapsed="false">
      <c r="A6" s="0" t="s">
        <v>15</v>
      </c>
      <c r="B6" s="5" t="n">
        <v>382.14</v>
      </c>
      <c r="D6" s="7" t="n">
        <f aca="false">B6/$G$2</f>
        <v>0.164107188868848</v>
      </c>
    </row>
    <row r="7" customFormat="false" ht="15" hidden="false" customHeight="false" outlineLevel="0" collapsed="false">
      <c r="A7" s="0" t="s">
        <v>16</v>
      </c>
      <c r="B7" s="5" t="n">
        <v>261.36</v>
      </c>
      <c r="D7" s="7" t="n">
        <f aca="false">B7/$G$2</f>
        <v>0.112239113630508</v>
      </c>
    </row>
    <row r="8" customFormat="false" ht="15" hidden="false" customHeight="false" outlineLevel="0" collapsed="false">
      <c r="A8" s="0" t="s">
        <v>17</v>
      </c>
      <c r="B8" s="5" t="n">
        <v>241.56</v>
      </c>
      <c r="D8" s="7" t="n">
        <f aca="false">B8/$G$2</f>
        <v>0.103736150476681</v>
      </c>
    </row>
    <row r="9" customFormat="false" ht="15" hidden="false" customHeight="false" outlineLevel="0" collapsed="false">
      <c r="A9" s="0" t="s">
        <v>18</v>
      </c>
      <c r="B9" s="5" t="n">
        <v>93.53</v>
      </c>
      <c r="D9" s="7" t="n">
        <f aca="false">B9/$G$2</f>
        <v>0.0401657648372413</v>
      </c>
    </row>
    <row r="10" customFormat="false" ht="15" hidden="false" customHeight="false" outlineLevel="0" collapsed="false">
      <c r="A10" s="0" t="s">
        <v>19</v>
      </c>
      <c r="B10" s="5" t="n">
        <v>79.2</v>
      </c>
      <c r="D10" s="7" t="n">
        <f aca="false">B10/$G$2</f>
        <v>0.0340118526153053</v>
      </c>
    </row>
    <row r="11" customFormat="false" ht="15" hidden="false" customHeight="false" outlineLevel="0" collapsed="false">
      <c r="A11" s="0" t="s">
        <v>20</v>
      </c>
      <c r="B11" s="5" t="n">
        <v>60.39</v>
      </c>
      <c r="D11" s="7" t="n">
        <f aca="false">B11/$G$2</f>
        <v>0.0259340376191703</v>
      </c>
    </row>
    <row r="12" customFormat="false" ht="15" hidden="false" customHeight="false" outlineLevel="0" collapsed="false">
      <c r="A12" s="0" t="s">
        <v>21</v>
      </c>
      <c r="B12" s="5" t="n">
        <v>57.71</v>
      </c>
      <c r="D12" s="7" t="n">
        <f aca="false">B12/$G$2</f>
        <v>0.0247831314953191</v>
      </c>
    </row>
    <row r="13" customFormat="false" ht="15" hidden="false" customHeight="false" outlineLevel="0" collapsed="false">
      <c r="A13" s="0" t="s">
        <v>22</v>
      </c>
      <c r="B13" s="5" t="n">
        <v>40.59</v>
      </c>
      <c r="D13" s="7" t="n">
        <f aca="false">B13/$G$2</f>
        <v>0.017431074465344</v>
      </c>
    </row>
    <row r="14" customFormat="false" ht="15" hidden="false" customHeight="false" outlineLevel="0" collapsed="false">
      <c r="A14" s="0" t="s">
        <v>23</v>
      </c>
      <c r="B14" s="5" t="n">
        <v>40.59</v>
      </c>
      <c r="D14" s="7" t="n">
        <f aca="false">B14/$G$2</f>
        <v>0.017431074465344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3"/>
  </cols>
  <sheetData>
    <row r="1" customFormat="false" ht="17.35" hidden="false" customHeight="false" outlineLevel="0" collapsed="false">
      <c r="A1" s="1" t="s">
        <v>24</v>
      </c>
    </row>
    <row r="2" customFormat="false" ht="15" hidden="false" customHeight="false" outlineLevel="0" collapsed="false">
      <c r="A2" s="4" t="s">
        <v>9</v>
      </c>
    </row>
    <row r="4" customFormat="false" ht="31.5" hidden="false" customHeight="true" outlineLevel="0" collapsed="false">
      <c r="A4" s="6" t="s">
        <v>25</v>
      </c>
      <c r="B4" s="6" t="s">
        <v>26</v>
      </c>
      <c r="C4" s="6" t="s">
        <v>27</v>
      </c>
    </row>
    <row r="5" customFormat="false" ht="15" hidden="false" customHeight="false" outlineLevel="0" collapsed="false">
      <c r="A5" s="0" t="s">
        <v>28</v>
      </c>
      <c r="B5" s="5" t="n">
        <v>35.64</v>
      </c>
      <c r="C5" s="5" t="n">
        <v>35.64</v>
      </c>
    </row>
    <row r="6" customFormat="false" ht="15" hidden="false" customHeight="false" outlineLevel="0" collapsed="false">
      <c r="A6" s="0" t="s">
        <v>29</v>
      </c>
      <c r="B6" s="5" t="n">
        <v>37.62</v>
      </c>
      <c r="C6" s="5" t="n">
        <v>73.26</v>
      </c>
    </row>
    <row r="7" customFormat="false" ht="15" hidden="false" customHeight="false" outlineLevel="0" collapsed="false">
      <c r="A7" s="0" t="s">
        <v>30</v>
      </c>
      <c r="B7" s="5" t="n">
        <v>37.62</v>
      </c>
      <c r="C7" s="5" t="n">
        <v>110.88</v>
      </c>
    </row>
    <row r="8" customFormat="false" ht="15" hidden="false" customHeight="false" outlineLevel="0" collapsed="false">
      <c r="A8" s="0" t="s">
        <v>31</v>
      </c>
      <c r="B8" s="5" t="n">
        <v>37.62</v>
      </c>
      <c r="C8" s="5" t="n">
        <v>148.5</v>
      </c>
    </row>
    <row r="9" customFormat="false" ht="15" hidden="false" customHeight="false" outlineLevel="0" collapsed="false">
      <c r="A9" s="0" t="s">
        <v>32</v>
      </c>
      <c r="B9" s="5" t="n">
        <v>37.62</v>
      </c>
      <c r="C9" s="5" t="n">
        <v>186.12</v>
      </c>
    </row>
    <row r="10" customFormat="false" ht="15" hidden="false" customHeight="false" outlineLevel="0" collapsed="false">
      <c r="A10" s="0" t="s">
        <v>33</v>
      </c>
      <c r="B10" s="5" t="n">
        <v>37.62</v>
      </c>
      <c r="C10" s="5" t="n">
        <v>223.74</v>
      </c>
    </row>
    <row r="11" customFormat="false" ht="15" hidden="false" customHeight="false" outlineLevel="0" collapsed="false">
      <c r="A11" s="0" t="s">
        <v>34</v>
      </c>
      <c r="B11" s="5" t="n">
        <v>37.62</v>
      </c>
      <c r="C11" s="5" t="n">
        <v>261.36</v>
      </c>
    </row>
    <row r="12" customFormat="false" ht="15" hidden="false" customHeight="false" outlineLevel="0" collapsed="false">
      <c r="A12" s="0" t="s">
        <v>35</v>
      </c>
      <c r="B12" s="5" t="n">
        <v>37.62</v>
      </c>
      <c r="C12" s="5" t="n">
        <v>298.98</v>
      </c>
    </row>
    <row r="13" customFormat="false" ht="15" hidden="false" customHeight="false" outlineLevel="0" collapsed="false">
      <c r="A13" s="0" t="s">
        <v>36</v>
      </c>
      <c r="B13" s="5" t="n">
        <v>37.62</v>
      </c>
      <c r="C13" s="5" t="n">
        <v>336.6</v>
      </c>
    </row>
    <row r="14" customFormat="false" ht="15" hidden="false" customHeight="false" outlineLevel="0" collapsed="false">
      <c r="A14" s="0" t="s">
        <v>37</v>
      </c>
      <c r="B14" s="5" t="n">
        <v>37.62</v>
      </c>
      <c r="C14" s="5" t="n">
        <v>374.22</v>
      </c>
    </row>
    <row r="15" customFormat="false" ht="15" hidden="false" customHeight="false" outlineLevel="0" collapsed="false">
      <c r="A15" s="0" t="s">
        <v>38</v>
      </c>
      <c r="B15" s="5" t="n">
        <v>37.62</v>
      </c>
      <c r="C15" s="5" t="n">
        <v>411.84</v>
      </c>
    </row>
    <row r="16" customFormat="false" ht="15" hidden="false" customHeight="false" outlineLevel="0" collapsed="false">
      <c r="A16" s="0" t="s">
        <v>39</v>
      </c>
      <c r="B16" s="5" t="n">
        <v>37.62</v>
      </c>
      <c r="C16" s="5" t="n">
        <v>449.46</v>
      </c>
    </row>
    <row r="17" customFormat="false" ht="15" hidden="false" customHeight="false" outlineLevel="0" collapsed="false">
      <c r="A17" s="0" t="s">
        <v>40</v>
      </c>
      <c r="B17" s="5" t="n">
        <v>52.62</v>
      </c>
      <c r="C17" s="5" t="n">
        <v>502.08</v>
      </c>
    </row>
    <row r="18" customFormat="false" ht="15" hidden="false" customHeight="false" outlineLevel="0" collapsed="false">
      <c r="A18" s="0" t="s">
        <v>41</v>
      </c>
      <c r="B18" s="5" t="n">
        <v>46.62</v>
      </c>
      <c r="C18" s="5" t="n">
        <v>548.7</v>
      </c>
    </row>
    <row r="19" customFormat="false" ht="15" hidden="false" customHeight="false" outlineLevel="0" collapsed="false">
      <c r="A19" s="0" t="s">
        <v>42</v>
      </c>
      <c r="B19" s="5" t="n">
        <v>44.62</v>
      </c>
      <c r="C19" s="5" t="n">
        <v>593.32</v>
      </c>
    </row>
    <row r="20" customFormat="false" ht="15" hidden="false" customHeight="false" outlineLevel="0" collapsed="false">
      <c r="A20" s="0" t="s">
        <v>43</v>
      </c>
      <c r="B20" s="5" t="n">
        <v>37.62</v>
      </c>
      <c r="C20" s="5" t="n">
        <v>630.94</v>
      </c>
    </row>
    <row r="21" customFormat="false" ht="15" hidden="false" customHeight="false" outlineLevel="0" collapsed="false">
      <c r="A21" s="0" t="s">
        <v>44</v>
      </c>
      <c r="B21" s="5" t="n">
        <v>37.62</v>
      </c>
      <c r="C21" s="5" t="n">
        <v>668.56</v>
      </c>
    </row>
    <row r="22" customFormat="false" ht="15" hidden="false" customHeight="false" outlineLevel="0" collapsed="false">
      <c r="A22" s="0" t="s">
        <v>45</v>
      </c>
      <c r="B22" s="5" t="n">
        <v>37.62</v>
      </c>
      <c r="C22" s="5" t="n">
        <v>706.18</v>
      </c>
    </row>
    <row r="23" customFormat="false" ht="15" hidden="false" customHeight="false" outlineLevel="0" collapsed="false">
      <c r="A23" s="0" t="s">
        <v>46</v>
      </c>
      <c r="B23" s="5" t="n">
        <v>37.62</v>
      </c>
      <c r="C23" s="5" t="n">
        <v>743.8</v>
      </c>
    </row>
    <row r="24" customFormat="false" ht="15" hidden="false" customHeight="false" outlineLevel="0" collapsed="false">
      <c r="A24" s="0" t="s">
        <v>47</v>
      </c>
      <c r="B24" s="5" t="n">
        <v>37.62</v>
      </c>
      <c r="C24" s="5" t="n">
        <v>781.42</v>
      </c>
    </row>
    <row r="25" customFormat="false" ht="15" hidden="false" customHeight="false" outlineLevel="0" collapsed="false">
      <c r="A25" s="0" t="s">
        <v>48</v>
      </c>
      <c r="B25" s="5" t="n">
        <v>36.63</v>
      </c>
      <c r="C25" s="5" t="n">
        <v>818.05</v>
      </c>
    </row>
    <row r="26" customFormat="false" ht="15" hidden="false" customHeight="false" outlineLevel="0" collapsed="false">
      <c r="A26" s="0" t="s">
        <v>49</v>
      </c>
      <c r="B26" s="5" t="n">
        <v>37.62</v>
      </c>
      <c r="C26" s="5" t="n">
        <v>855.67</v>
      </c>
    </row>
    <row r="27" customFormat="false" ht="15" hidden="false" customHeight="false" outlineLevel="0" collapsed="false">
      <c r="A27" s="0" t="s">
        <v>50</v>
      </c>
      <c r="B27" s="5" t="n">
        <v>37.62</v>
      </c>
      <c r="C27" s="5" t="n">
        <v>893.29</v>
      </c>
    </row>
    <row r="28" customFormat="false" ht="15" hidden="false" customHeight="false" outlineLevel="0" collapsed="false">
      <c r="A28" s="0" t="s">
        <v>51</v>
      </c>
      <c r="B28" s="5" t="n">
        <v>37.62</v>
      </c>
      <c r="C28" s="5" t="n">
        <v>930.91</v>
      </c>
    </row>
    <row r="29" customFormat="false" ht="15" hidden="false" customHeight="false" outlineLevel="0" collapsed="false">
      <c r="A29" s="0" t="s">
        <v>52</v>
      </c>
      <c r="B29" s="5" t="n">
        <v>37.62</v>
      </c>
      <c r="C29" s="5" t="n">
        <v>968.53</v>
      </c>
    </row>
    <row r="30" customFormat="false" ht="15" hidden="false" customHeight="false" outlineLevel="0" collapsed="false">
      <c r="A30" s="0" t="s">
        <v>53</v>
      </c>
      <c r="B30" s="5" t="n">
        <v>37.62</v>
      </c>
      <c r="C30" s="5" t="n">
        <v>1006.15</v>
      </c>
    </row>
    <row r="31" customFormat="false" ht="15" hidden="false" customHeight="false" outlineLevel="0" collapsed="false">
      <c r="A31" s="0" t="s">
        <v>54</v>
      </c>
      <c r="B31" s="5" t="n">
        <v>37.62</v>
      </c>
      <c r="C31" s="5" t="n">
        <v>1043.77</v>
      </c>
    </row>
    <row r="32" customFormat="false" ht="15" hidden="false" customHeight="false" outlineLevel="0" collapsed="false">
      <c r="A32" s="0" t="s">
        <v>55</v>
      </c>
      <c r="B32" s="5" t="n">
        <v>51.62</v>
      </c>
      <c r="C32" s="5" t="n">
        <v>1095.39</v>
      </c>
    </row>
    <row r="33" customFormat="false" ht="15" hidden="false" customHeight="false" outlineLevel="0" collapsed="false">
      <c r="A33" s="0" t="s">
        <v>56</v>
      </c>
      <c r="B33" s="5" t="n">
        <v>42.62</v>
      </c>
      <c r="C33" s="5" t="n">
        <v>1138.01</v>
      </c>
    </row>
    <row r="34" customFormat="false" ht="15" hidden="false" customHeight="false" outlineLevel="0" collapsed="false">
      <c r="A34" s="0" t="s">
        <v>57</v>
      </c>
      <c r="B34" s="5" t="n">
        <v>50.62</v>
      </c>
      <c r="C34" s="5" t="n">
        <v>1188.63</v>
      </c>
    </row>
    <row r="35" customFormat="false" ht="15" hidden="false" customHeight="false" outlineLevel="0" collapsed="false">
      <c r="A35" s="0" t="s">
        <v>58</v>
      </c>
      <c r="B35" s="5" t="n">
        <v>37.62</v>
      </c>
      <c r="C35" s="5" t="n">
        <v>1226.25</v>
      </c>
    </row>
    <row r="36" customFormat="false" ht="15" hidden="false" customHeight="false" outlineLevel="0" collapsed="false">
      <c r="A36" s="0" t="s">
        <v>59</v>
      </c>
      <c r="B36" s="5" t="n">
        <v>37.62</v>
      </c>
      <c r="C36" s="5" t="n">
        <v>1263.87</v>
      </c>
    </row>
    <row r="37" customFormat="false" ht="15" hidden="false" customHeight="false" outlineLevel="0" collapsed="false">
      <c r="A37" s="0" t="s">
        <v>60</v>
      </c>
      <c r="B37" s="5" t="n">
        <v>37.62</v>
      </c>
      <c r="C37" s="5" t="n">
        <v>1301.49</v>
      </c>
    </row>
    <row r="38" customFormat="false" ht="15" hidden="false" customHeight="false" outlineLevel="0" collapsed="false">
      <c r="A38" s="0" t="s">
        <v>61</v>
      </c>
      <c r="B38" s="5" t="n">
        <v>37.62</v>
      </c>
      <c r="C38" s="5" t="n">
        <v>1339.11</v>
      </c>
    </row>
    <row r="39" customFormat="false" ht="15" hidden="false" customHeight="false" outlineLevel="0" collapsed="false">
      <c r="A39" s="0" t="s">
        <v>62</v>
      </c>
      <c r="B39" s="5" t="n">
        <v>23.76</v>
      </c>
      <c r="C39" s="5" t="n">
        <v>1362.87</v>
      </c>
    </row>
    <row r="40" customFormat="false" ht="15" hidden="false" customHeight="false" outlineLevel="0" collapsed="false">
      <c r="A40" s="0" t="s">
        <v>63</v>
      </c>
      <c r="B40" s="5" t="n">
        <v>37.62</v>
      </c>
      <c r="C40" s="5" t="n">
        <v>1400.49</v>
      </c>
    </row>
    <row r="41" customFormat="false" ht="15" hidden="false" customHeight="false" outlineLevel="0" collapsed="false">
      <c r="A41" s="0" t="s">
        <v>64</v>
      </c>
      <c r="B41" s="5" t="n">
        <v>37.62</v>
      </c>
      <c r="C41" s="5" t="n">
        <v>1438.11</v>
      </c>
    </row>
    <row r="42" customFormat="false" ht="15" hidden="false" customHeight="false" outlineLevel="0" collapsed="false">
      <c r="A42" s="0" t="s">
        <v>65</v>
      </c>
      <c r="B42" s="5" t="n">
        <v>37.62</v>
      </c>
      <c r="C42" s="5" t="n">
        <v>1475.73</v>
      </c>
    </row>
    <row r="43" customFormat="false" ht="15" hidden="false" customHeight="false" outlineLevel="0" collapsed="false">
      <c r="A43" s="0" t="s">
        <v>66</v>
      </c>
      <c r="B43" s="5" t="n">
        <v>37.62</v>
      </c>
      <c r="C43" s="5" t="n">
        <v>1513.35</v>
      </c>
    </row>
    <row r="44" customFormat="false" ht="15" hidden="false" customHeight="false" outlineLevel="0" collapsed="false">
      <c r="A44" s="0" t="s">
        <v>67</v>
      </c>
      <c r="B44" s="5" t="n">
        <v>37.62</v>
      </c>
      <c r="C44" s="5" t="n">
        <v>1550.97</v>
      </c>
    </row>
    <row r="45" customFormat="false" ht="15" hidden="false" customHeight="false" outlineLevel="0" collapsed="false">
      <c r="A45" s="0" t="s">
        <v>68</v>
      </c>
      <c r="B45" s="5" t="n">
        <v>37.62</v>
      </c>
      <c r="C45" s="5" t="n">
        <v>1588.59</v>
      </c>
    </row>
    <row r="46" customFormat="false" ht="15" hidden="false" customHeight="false" outlineLevel="0" collapsed="false">
      <c r="A46" s="0" t="s">
        <v>69</v>
      </c>
      <c r="B46" s="5" t="n">
        <v>37.62</v>
      </c>
      <c r="C46" s="5" t="n">
        <v>1626.21</v>
      </c>
    </row>
    <row r="47" customFormat="false" ht="15" hidden="false" customHeight="false" outlineLevel="0" collapsed="false">
      <c r="A47" s="0" t="s">
        <v>70</v>
      </c>
      <c r="B47" s="5" t="n">
        <v>39.62</v>
      </c>
      <c r="C47" s="5" t="n">
        <v>1665.83</v>
      </c>
    </row>
    <row r="48" customFormat="false" ht="15" hidden="false" customHeight="false" outlineLevel="0" collapsed="false">
      <c r="A48" s="0" t="s">
        <v>71</v>
      </c>
      <c r="B48" s="5" t="n">
        <v>47.62</v>
      </c>
      <c r="C48" s="5" t="n">
        <v>1713.45</v>
      </c>
    </row>
    <row r="49" customFormat="false" ht="15" hidden="false" customHeight="false" outlineLevel="0" collapsed="false">
      <c r="A49" s="0" t="s">
        <v>72</v>
      </c>
      <c r="B49" s="5" t="n">
        <v>46.71</v>
      </c>
      <c r="C49" s="5" t="n">
        <v>1760.16</v>
      </c>
    </row>
    <row r="50" customFormat="false" ht="15" hidden="false" customHeight="false" outlineLevel="0" collapsed="false">
      <c r="A50" s="0" t="s">
        <v>73</v>
      </c>
      <c r="B50" s="5" t="n">
        <v>42.62</v>
      </c>
      <c r="C50" s="5" t="n">
        <v>1802.78</v>
      </c>
    </row>
    <row r="51" customFormat="false" ht="15" hidden="false" customHeight="false" outlineLevel="0" collapsed="false">
      <c r="A51" s="0" t="s">
        <v>74</v>
      </c>
      <c r="B51" s="5" t="n">
        <v>37.62</v>
      </c>
      <c r="C51" s="5" t="n">
        <v>1840.4</v>
      </c>
    </row>
    <row r="52" customFormat="false" ht="15" hidden="false" customHeight="false" outlineLevel="0" collapsed="false">
      <c r="A52" s="0" t="s">
        <v>75</v>
      </c>
      <c r="B52" s="5" t="n">
        <v>37.62</v>
      </c>
      <c r="C52" s="5" t="n">
        <v>1878.02</v>
      </c>
    </row>
    <row r="53" customFormat="false" ht="15" hidden="false" customHeight="false" outlineLevel="0" collapsed="false">
      <c r="A53" s="0" t="s">
        <v>76</v>
      </c>
      <c r="B53" s="5" t="n">
        <v>37.62</v>
      </c>
      <c r="C53" s="5" t="n">
        <v>1915.64</v>
      </c>
    </row>
    <row r="54" customFormat="false" ht="15" hidden="false" customHeight="false" outlineLevel="0" collapsed="false">
      <c r="A54" s="0" t="s">
        <v>77</v>
      </c>
      <c r="B54" s="5" t="n">
        <v>27.72</v>
      </c>
      <c r="C54" s="5" t="n">
        <v>1943.36</v>
      </c>
    </row>
    <row r="55" customFormat="false" ht="15" hidden="false" customHeight="false" outlineLevel="0" collapsed="false">
      <c r="A55" s="0" t="s">
        <v>78</v>
      </c>
      <c r="B55" s="5" t="n">
        <v>37.62</v>
      </c>
      <c r="C55" s="5" t="n">
        <v>1980.98</v>
      </c>
    </row>
    <row r="56" customFormat="false" ht="15" hidden="false" customHeight="false" outlineLevel="0" collapsed="false">
      <c r="A56" s="0" t="s">
        <v>79</v>
      </c>
      <c r="B56" s="5" t="n">
        <v>33.66</v>
      </c>
      <c r="C56" s="5" t="n">
        <v>2014.64</v>
      </c>
    </row>
    <row r="57" customFormat="false" ht="15" hidden="false" customHeight="false" outlineLevel="0" collapsed="false">
      <c r="A57" s="0" t="s">
        <v>80</v>
      </c>
      <c r="B57" s="5" t="n">
        <v>37.62</v>
      </c>
      <c r="C57" s="5" t="n">
        <v>2052.26</v>
      </c>
    </row>
    <row r="58" customFormat="false" ht="15" hidden="false" customHeight="false" outlineLevel="0" collapsed="false">
      <c r="A58" s="0" t="s">
        <v>81</v>
      </c>
      <c r="B58" s="5" t="n">
        <v>37.62</v>
      </c>
      <c r="C58" s="5" t="n">
        <v>2089.88</v>
      </c>
    </row>
    <row r="59" customFormat="false" ht="15" hidden="false" customHeight="false" outlineLevel="0" collapsed="false">
      <c r="A59" s="0" t="s">
        <v>82</v>
      </c>
      <c r="B59" s="5" t="n">
        <v>37.62</v>
      </c>
      <c r="C59" s="5" t="n">
        <v>2127.5</v>
      </c>
    </row>
    <row r="60" customFormat="false" ht="15" hidden="false" customHeight="false" outlineLevel="0" collapsed="false">
      <c r="A60" s="0" t="s">
        <v>83</v>
      </c>
      <c r="B60" s="5" t="n">
        <v>37.62</v>
      </c>
      <c r="C60" s="5" t="n">
        <v>2165.12</v>
      </c>
    </row>
    <row r="61" customFormat="false" ht="15" hidden="false" customHeight="false" outlineLevel="0" collapsed="false">
      <c r="A61" s="0" t="s">
        <v>84</v>
      </c>
      <c r="B61" s="5" t="n">
        <v>37.62</v>
      </c>
      <c r="C61" s="5" t="n">
        <v>2202.74</v>
      </c>
    </row>
    <row r="62" customFormat="false" ht="15" hidden="false" customHeight="false" outlineLevel="0" collapsed="false">
      <c r="A62" s="0" t="s">
        <v>85</v>
      </c>
      <c r="B62" s="5" t="n">
        <v>37.62</v>
      </c>
      <c r="C62" s="5" t="n">
        <v>2240.36</v>
      </c>
    </row>
    <row r="63" customFormat="false" ht="15" hidden="false" customHeight="false" outlineLevel="0" collapsed="false">
      <c r="A63" s="0" t="s">
        <v>86</v>
      </c>
      <c r="B63" s="5" t="n">
        <v>49.62</v>
      </c>
      <c r="C63" s="5" t="n">
        <v>2289.98</v>
      </c>
    </row>
    <row r="64" customFormat="false" ht="15" hidden="false" customHeight="false" outlineLevel="0" collapsed="false">
      <c r="A64" s="0" t="s">
        <v>87</v>
      </c>
      <c r="B64" s="5" t="n">
        <v>38.62</v>
      </c>
      <c r="C64" s="5" t="n">
        <v>2328.6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3"/>
  </cols>
  <sheetData>
    <row r="1" customFormat="false" ht="17.35" hidden="false" customHeight="false" outlineLevel="0" collapsed="false">
      <c r="A1" s="1" t="s">
        <v>88</v>
      </c>
    </row>
    <row r="2" customFormat="false" ht="15" hidden="false" customHeight="false" outlineLevel="0" collapsed="false">
      <c r="A2" s="4" t="s">
        <v>9</v>
      </c>
    </row>
    <row r="4" customFormat="false" ht="31.5" hidden="false" customHeight="true" outlineLevel="0" collapsed="false">
      <c r="A4" s="6" t="s">
        <v>89</v>
      </c>
      <c r="B4" s="6" t="s">
        <v>90</v>
      </c>
      <c r="C4" s="6" t="s">
        <v>12</v>
      </c>
    </row>
    <row r="5" customFormat="false" ht="15" hidden="false" customHeight="false" outlineLevel="0" collapsed="false">
      <c r="A5" s="0" t="s">
        <v>91</v>
      </c>
      <c r="B5" s="0" t="s">
        <v>92</v>
      </c>
      <c r="C5" s="5" t="n">
        <v>49.62</v>
      </c>
    </row>
    <row r="6" customFormat="false" ht="15" hidden="false" customHeight="false" outlineLevel="0" collapsed="false">
      <c r="A6" s="0" t="s">
        <v>93</v>
      </c>
      <c r="B6" s="0" t="s">
        <v>94</v>
      </c>
      <c r="C6" s="5" t="n">
        <v>47.62</v>
      </c>
    </row>
    <row r="7" customFormat="false" ht="15" hidden="false" customHeight="false" outlineLevel="0" collapsed="false">
      <c r="A7" s="0" t="s">
        <v>95</v>
      </c>
      <c r="B7" s="0" t="s">
        <v>96</v>
      </c>
      <c r="C7" s="5" t="n">
        <v>46.62</v>
      </c>
    </row>
    <row r="8" customFormat="false" ht="15" hidden="false" customHeight="false" outlineLevel="0" collapsed="false">
      <c r="A8" s="0" t="s">
        <v>97</v>
      </c>
      <c r="B8" s="0" t="s">
        <v>98</v>
      </c>
      <c r="C8" s="5" t="n">
        <v>45.62</v>
      </c>
    </row>
    <row r="9" customFormat="false" ht="15" hidden="false" customHeight="false" outlineLevel="0" collapsed="false">
      <c r="A9" s="0" t="s">
        <v>99</v>
      </c>
      <c r="B9" s="0" t="s">
        <v>100</v>
      </c>
      <c r="C9" s="5" t="n">
        <v>45.62</v>
      </c>
    </row>
    <row r="10" customFormat="false" ht="15" hidden="false" customHeight="false" outlineLevel="0" collapsed="false">
      <c r="A10" s="0" t="s">
        <v>101</v>
      </c>
      <c r="B10" s="0" t="s">
        <v>94</v>
      </c>
      <c r="C10" s="5" t="n">
        <v>43.62</v>
      </c>
    </row>
    <row r="11" customFormat="false" ht="15" hidden="false" customHeight="false" outlineLevel="0" collapsed="false">
      <c r="A11" s="0" t="s">
        <v>102</v>
      </c>
      <c r="B11" s="0" t="s">
        <v>94</v>
      </c>
      <c r="C11" s="5" t="n">
        <v>43.62</v>
      </c>
    </row>
    <row r="12" customFormat="false" ht="15" hidden="false" customHeight="false" outlineLevel="0" collapsed="false">
      <c r="A12" s="0" t="s">
        <v>103</v>
      </c>
      <c r="B12" s="0" t="s">
        <v>104</v>
      </c>
      <c r="C12" s="5" t="n">
        <v>43.62</v>
      </c>
    </row>
    <row r="13" customFormat="false" ht="15" hidden="false" customHeight="false" outlineLevel="0" collapsed="false">
      <c r="A13" s="0" t="s">
        <v>105</v>
      </c>
      <c r="B13" s="0" t="s">
        <v>106</v>
      </c>
      <c r="C13" s="5" t="n">
        <v>42.62</v>
      </c>
    </row>
    <row r="14" customFormat="false" ht="15" hidden="false" customHeight="false" outlineLevel="0" collapsed="false">
      <c r="A14" s="0" t="s">
        <v>107</v>
      </c>
      <c r="B14" s="0" t="s">
        <v>94</v>
      </c>
      <c r="C14" s="5" t="n">
        <v>42.62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" t="s">
        <v>108</v>
      </c>
    </row>
    <row r="2" customFormat="false" ht="15" hidden="false" customHeight="false" outlineLevel="0" collapsed="false">
      <c r="A2" s="4" t="s">
        <v>109</v>
      </c>
    </row>
    <row r="4" customFormat="false" ht="15" hidden="false" customHeight="false" outlineLevel="0" collapsed="false">
      <c r="A4" s="3" t="s">
        <v>110</v>
      </c>
    </row>
    <row r="5" customFormat="false" ht="15" hidden="false" customHeight="false" outlineLevel="0" collapsed="false">
      <c r="A5" s="8" t="s">
        <v>111</v>
      </c>
    </row>
    <row r="6" customFormat="false" ht="15" hidden="false" customHeight="false" outlineLevel="0" collapsed="false">
      <c r="A6" s="8" t="s">
        <v>112</v>
      </c>
    </row>
    <row r="7" customFormat="false" ht="15" hidden="false" customHeight="false" outlineLevel="0" collapsed="false">
      <c r="A7" s="8" t="s">
        <v>113</v>
      </c>
    </row>
    <row r="8" customFormat="false" ht="15" hidden="false" customHeight="false" outlineLevel="0" collapsed="false">
      <c r="A8" s="8" t="s">
        <v>114</v>
      </c>
    </row>
    <row r="9" customFormat="false" ht="15" hidden="false" customHeight="false" outlineLevel="0" collapsed="false">
      <c r="A9" s="8" t="s">
        <v>115</v>
      </c>
    </row>
    <row r="11" customFormat="false" ht="15" hidden="false" customHeight="false" outlineLevel="0" collapsed="false">
      <c r="A11" s="3" t="s">
        <v>116</v>
      </c>
    </row>
    <row r="12" customFormat="false" ht="15" hidden="false" customHeight="false" outlineLevel="0" collapsed="false">
      <c r="A12" s="8" t="s">
        <v>117</v>
      </c>
    </row>
    <row r="13" customFormat="false" ht="15" hidden="false" customHeight="false" outlineLevel="0" collapsed="false">
      <c r="A13" s="8" t="s">
        <v>118</v>
      </c>
    </row>
    <row r="14" customFormat="false" ht="15" hidden="false" customHeight="false" outlineLevel="0" collapsed="false">
      <c r="A14" s="8" t="s">
        <v>119</v>
      </c>
    </row>
    <row r="15" customFormat="false" ht="15" hidden="false" customHeight="false" outlineLevel="0" collapsed="false">
      <c r="A15" s="8" t="s">
        <v>120</v>
      </c>
    </row>
    <row r="16" customFormat="false" ht="15" hidden="false" customHeight="false" outlineLevel="0" collapsed="false">
      <c r="A16" s="8" t="s">
        <v>121</v>
      </c>
    </row>
    <row r="18" customFormat="false" ht="15" hidden="false" customHeight="false" outlineLevel="0" collapsed="false">
      <c r="A18" s="3" t="s">
        <v>122</v>
      </c>
    </row>
    <row r="19" customFormat="false" ht="15" hidden="false" customHeight="false" outlineLevel="0" collapsed="false">
      <c r="A19" s="8" t="s">
        <v>123</v>
      </c>
    </row>
    <row r="20" customFormat="false" ht="15" hidden="false" customHeight="false" outlineLevel="0" collapsed="false">
      <c r="A20" s="8" t="s">
        <v>124</v>
      </c>
    </row>
    <row r="21" customFormat="false" ht="15" hidden="false" customHeight="false" outlineLevel="0" collapsed="false">
      <c r="A21" s="8" t="s">
        <v>125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O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28" customFormat="false" ht="15" hidden="false" customHeight="false" outlineLevel="0" collapsed="false">
      <c r="O28" s="0" t="s">
        <v>126</v>
      </c>
    </row>
  </sheetData>
  <printOptions headings="false" gridLines="false" gridLinesSet="true" horizontalCentered="false" verticalCentered="false"/>
  <pageMargins left="0.2" right="0.2" top="0.2" bottom="0.2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O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28" customFormat="false" ht="15" hidden="false" customHeight="false" outlineLevel="0" collapsed="false">
      <c r="O28" s="0" t="s">
        <v>126</v>
      </c>
    </row>
  </sheetData>
  <printOptions headings="false" gridLines="false" gridLinesSet="true" horizontalCentered="false" verticalCentered="false"/>
  <pageMargins left="0.2" right="0.2" top="0.2" bottom="0.2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O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28" customFormat="false" ht="15" hidden="false" customHeight="false" outlineLevel="0" collapsed="false">
      <c r="O28" s="0" t="s">
        <v>126</v>
      </c>
    </row>
  </sheetData>
  <printOptions headings="false" gridLines="false" gridLinesSet="true" horizontalCentered="false" verticalCentered="false"/>
  <pageMargins left="0.2" right="0.2" top="0.2" bottom="0.2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2026-10-07T19:58:37Z</dcterms:created>
  <dc:creator>openpyxl</dc:creator>
  <dc:description/>
  <dc:language>en-US</dc:language>
  <cp:lastModifiedBy/>
  <dcterms:modified xsi:type="dcterms:W3CDTF">2026-10-07T19:58:39Z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